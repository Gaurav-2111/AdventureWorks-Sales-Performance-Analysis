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ura\Downloads\"/>
    </mc:Choice>
  </mc:AlternateContent>
  <xr:revisionPtr revIDLastSave="0" documentId="13_ncr:1_{18AF292C-6D38-408D-BE55-4EEB0C74FFD9}" xr6:coauthVersionLast="47" xr6:coauthVersionMax="47" xr10:uidLastSave="{00000000-0000-0000-0000-000000000000}"/>
  <bookViews>
    <workbookView xWindow="-108" yWindow="-108" windowWidth="23256" windowHeight="12456" activeTab="3" xr2:uid="{E091B879-9222-4D73-B338-765A68B1448F}"/>
  </bookViews>
  <sheets>
    <sheet name="SalespersonSummary" sheetId="4" r:id="rId1"/>
    <sheet name="CategoryPivot" sheetId="7" r:id="rId2"/>
    <sheet name="CategoryMixChart" sheetId="8" r:id="rId3"/>
    <sheet name="Dashboard" sheetId="9" r:id="rId4"/>
    <sheet name="CategorySales" sheetId="3" r:id="rId5"/>
    <sheet name="QuarterlyPerformance" sheetId="2" r:id="rId6"/>
    <sheet name="Excel_Analysis" sheetId="1" r:id="rId7"/>
    <sheet name="SalespersonPivot" sheetId="6" r:id="rId8"/>
    <sheet name="QuarterlyPivot" sheetId="5" r:id="rId9"/>
  </sheets>
  <definedNames>
    <definedName name="ExternalData_1" localSheetId="5" hidden="1">QuarterlyPerformance!$A$1:$O$180</definedName>
    <definedName name="ExternalData_2" localSheetId="4" hidden="1">CategorySales!$A$1:$K$694</definedName>
    <definedName name="ExternalData_3" localSheetId="0" hidden="1">SalespersonSummary!$A$1:$K$18</definedName>
  </definedNames>
  <calcPr calcId="191029"/>
  <pivotCaches>
    <pivotCache cacheId="0" r:id="rId10"/>
    <pivotCache cacheId="1" r:id="rId11"/>
    <pivotCache cacheId="2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" i="9" l="1"/>
  <c r="E5" i="9"/>
  <c r="D5" i="9"/>
  <c r="C5" i="9"/>
  <c r="B5" i="9"/>
  <c r="E4" i="5"/>
  <c r="E5" i="5"/>
  <c r="E6" i="5"/>
  <c r="E7" i="5"/>
  <c r="E8" i="5"/>
  <c r="E9" i="5"/>
  <c r="E10" i="5"/>
  <c r="E11" i="5"/>
  <c r="E12" i="5"/>
  <c r="E13" i="5"/>
  <c r="E14" i="5"/>
  <c r="E15" i="5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M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292" i="3"/>
  <c r="M293" i="3"/>
  <c r="M294" i="3"/>
  <c r="M295" i="3"/>
  <c r="M296" i="3"/>
  <c r="M297" i="3"/>
  <c r="M298" i="3"/>
  <c r="M299" i="3"/>
  <c r="M300" i="3"/>
  <c r="M301" i="3"/>
  <c r="M302" i="3"/>
  <c r="M303" i="3"/>
  <c r="M304" i="3"/>
  <c r="M305" i="3"/>
  <c r="M306" i="3"/>
  <c r="M307" i="3"/>
  <c r="M308" i="3"/>
  <c r="M309" i="3"/>
  <c r="M310" i="3"/>
  <c r="M311" i="3"/>
  <c r="M312" i="3"/>
  <c r="M313" i="3"/>
  <c r="M314" i="3"/>
  <c r="M315" i="3"/>
  <c r="M316" i="3"/>
  <c r="M317" i="3"/>
  <c r="M318" i="3"/>
  <c r="M319" i="3"/>
  <c r="M320" i="3"/>
  <c r="M321" i="3"/>
  <c r="M322" i="3"/>
  <c r="M323" i="3"/>
  <c r="M324" i="3"/>
  <c r="M325" i="3"/>
  <c r="M326" i="3"/>
  <c r="M327" i="3"/>
  <c r="M328" i="3"/>
  <c r="M329" i="3"/>
  <c r="M330" i="3"/>
  <c r="M331" i="3"/>
  <c r="M332" i="3"/>
  <c r="M333" i="3"/>
  <c r="M334" i="3"/>
  <c r="M335" i="3"/>
  <c r="M336" i="3"/>
  <c r="M337" i="3"/>
  <c r="M338" i="3"/>
  <c r="M339" i="3"/>
  <c r="M340" i="3"/>
  <c r="M341" i="3"/>
  <c r="M342" i="3"/>
  <c r="M343" i="3"/>
  <c r="M344" i="3"/>
  <c r="M345" i="3"/>
  <c r="M346" i="3"/>
  <c r="M347" i="3"/>
  <c r="M348" i="3"/>
  <c r="M349" i="3"/>
  <c r="M350" i="3"/>
  <c r="M351" i="3"/>
  <c r="M352" i="3"/>
  <c r="M353" i="3"/>
  <c r="M354" i="3"/>
  <c r="M355" i="3"/>
  <c r="M356" i="3"/>
  <c r="M357" i="3"/>
  <c r="M358" i="3"/>
  <c r="M359" i="3"/>
  <c r="M360" i="3"/>
  <c r="M361" i="3"/>
  <c r="M362" i="3"/>
  <c r="M363" i="3"/>
  <c r="M364" i="3"/>
  <c r="M365" i="3"/>
  <c r="M366" i="3"/>
  <c r="M367" i="3"/>
  <c r="M368" i="3"/>
  <c r="M369" i="3"/>
  <c r="M370" i="3"/>
  <c r="M371" i="3"/>
  <c r="M372" i="3"/>
  <c r="M373" i="3"/>
  <c r="M374" i="3"/>
  <c r="M375" i="3"/>
  <c r="M376" i="3"/>
  <c r="M377" i="3"/>
  <c r="M378" i="3"/>
  <c r="M379" i="3"/>
  <c r="M380" i="3"/>
  <c r="M381" i="3"/>
  <c r="M382" i="3"/>
  <c r="M383" i="3"/>
  <c r="M384" i="3"/>
  <c r="M385" i="3"/>
  <c r="M386" i="3"/>
  <c r="M387" i="3"/>
  <c r="M388" i="3"/>
  <c r="M389" i="3"/>
  <c r="M390" i="3"/>
  <c r="M391" i="3"/>
  <c r="M392" i="3"/>
  <c r="M393" i="3"/>
  <c r="M394" i="3"/>
  <c r="M395" i="3"/>
  <c r="M396" i="3"/>
  <c r="M397" i="3"/>
  <c r="M398" i="3"/>
  <c r="M399" i="3"/>
  <c r="M400" i="3"/>
  <c r="M401" i="3"/>
  <c r="M402" i="3"/>
  <c r="M403" i="3"/>
  <c r="M404" i="3"/>
  <c r="M405" i="3"/>
  <c r="M406" i="3"/>
  <c r="M407" i="3"/>
  <c r="M408" i="3"/>
  <c r="M409" i="3"/>
  <c r="M410" i="3"/>
  <c r="M411" i="3"/>
  <c r="M412" i="3"/>
  <c r="M413" i="3"/>
  <c r="M414" i="3"/>
  <c r="M415" i="3"/>
  <c r="M416" i="3"/>
  <c r="M417" i="3"/>
  <c r="M418" i="3"/>
  <c r="M419" i="3"/>
  <c r="M420" i="3"/>
  <c r="M421" i="3"/>
  <c r="M422" i="3"/>
  <c r="M423" i="3"/>
  <c r="M424" i="3"/>
  <c r="M425" i="3"/>
  <c r="M426" i="3"/>
  <c r="M427" i="3"/>
  <c r="M428" i="3"/>
  <c r="M429" i="3"/>
  <c r="M430" i="3"/>
  <c r="M431" i="3"/>
  <c r="M432" i="3"/>
  <c r="M433" i="3"/>
  <c r="M434" i="3"/>
  <c r="M435" i="3"/>
  <c r="M436" i="3"/>
  <c r="M437" i="3"/>
  <c r="M438" i="3"/>
  <c r="M439" i="3"/>
  <c r="M440" i="3"/>
  <c r="M441" i="3"/>
  <c r="M442" i="3"/>
  <c r="M443" i="3"/>
  <c r="M444" i="3"/>
  <c r="M445" i="3"/>
  <c r="M446" i="3"/>
  <c r="M447" i="3"/>
  <c r="M448" i="3"/>
  <c r="M449" i="3"/>
  <c r="M450" i="3"/>
  <c r="M451" i="3"/>
  <c r="M452" i="3"/>
  <c r="M453" i="3"/>
  <c r="M454" i="3"/>
  <c r="M455" i="3"/>
  <c r="M456" i="3"/>
  <c r="M457" i="3"/>
  <c r="M458" i="3"/>
  <c r="M459" i="3"/>
  <c r="M460" i="3"/>
  <c r="M461" i="3"/>
  <c r="M462" i="3"/>
  <c r="M463" i="3"/>
  <c r="M464" i="3"/>
  <c r="M465" i="3"/>
  <c r="M466" i="3"/>
  <c r="M467" i="3"/>
  <c r="M468" i="3"/>
  <c r="M469" i="3"/>
  <c r="M470" i="3"/>
  <c r="M471" i="3"/>
  <c r="M472" i="3"/>
  <c r="M473" i="3"/>
  <c r="M474" i="3"/>
  <c r="M475" i="3"/>
  <c r="M476" i="3"/>
  <c r="M477" i="3"/>
  <c r="M478" i="3"/>
  <c r="M479" i="3"/>
  <c r="M480" i="3"/>
  <c r="M481" i="3"/>
  <c r="M482" i="3"/>
  <c r="M483" i="3"/>
  <c r="M484" i="3"/>
  <c r="M485" i="3"/>
  <c r="M486" i="3"/>
  <c r="M487" i="3"/>
  <c r="M488" i="3"/>
  <c r="M489" i="3"/>
  <c r="M490" i="3"/>
  <c r="M491" i="3"/>
  <c r="M492" i="3"/>
  <c r="M493" i="3"/>
  <c r="M494" i="3"/>
  <c r="M495" i="3"/>
  <c r="M496" i="3"/>
  <c r="M497" i="3"/>
  <c r="M498" i="3"/>
  <c r="M499" i="3"/>
  <c r="M500" i="3"/>
  <c r="M501" i="3"/>
  <c r="M502" i="3"/>
  <c r="M503" i="3"/>
  <c r="M504" i="3"/>
  <c r="M505" i="3"/>
  <c r="M506" i="3"/>
  <c r="M507" i="3"/>
  <c r="M508" i="3"/>
  <c r="M509" i="3"/>
  <c r="M510" i="3"/>
  <c r="M511" i="3"/>
  <c r="M512" i="3"/>
  <c r="M513" i="3"/>
  <c r="M514" i="3"/>
  <c r="M515" i="3"/>
  <c r="M516" i="3"/>
  <c r="M517" i="3"/>
  <c r="M518" i="3"/>
  <c r="M519" i="3"/>
  <c r="M520" i="3"/>
  <c r="M521" i="3"/>
  <c r="M522" i="3"/>
  <c r="M523" i="3"/>
  <c r="M524" i="3"/>
  <c r="M525" i="3"/>
  <c r="M526" i="3"/>
  <c r="M527" i="3"/>
  <c r="M528" i="3"/>
  <c r="M529" i="3"/>
  <c r="M530" i="3"/>
  <c r="M531" i="3"/>
  <c r="M532" i="3"/>
  <c r="M533" i="3"/>
  <c r="M534" i="3"/>
  <c r="M535" i="3"/>
  <c r="M536" i="3"/>
  <c r="M537" i="3"/>
  <c r="M538" i="3"/>
  <c r="M539" i="3"/>
  <c r="M540" i="3"/>
  <c r="M541" i="3"/>
  <c r="M542" i="3"/>
  <c r="M543" i="3"/>
  <c r="M544" i="3"/>
  <c r="M545" i="3"/>
  <c r="M546" i="3"/>
  <c r="M547" i="3"/>
  <c r="M548" i="3"/>
  <c r="M549" i="3"/>
  <c r="M550" i="3"/>
  <c r="M551" i="3"/>
  <c r="M552" i="3"/>
  <c r="M553" i="3"/>
  <c r="M554" i="3"/>
  <c r="M555" i="3"/>
  <c r="M556" i="3"/>
  <c r="M557" i="3"/>
  <c r="M558" i="3"/>
  <c r="M559" i="3"/>
  <c r="M560" i="3"/>
  <c r="M561" i="3"/>
  <c r="M562" i="3"/>
  <c r="M563" i="3"/>
  <c r="M564" i="3"/>
  <c r="M565" i="3"/>
  <c r="M566" i="3"/>
  <c r="M567" i="3"/>
  <c r="M568" i="3"/>
  <c r="M569" i="3"/>
  <c r="M570" i="3"/>
  <c r="M571" i="3"/>
  <c r="M572" i="3"/>
  <c r="M573" i="3"/>
  <c r="M574" i="3"/>
  <c r="M575" i="3"/>
  <c r="M576" i="3"/>
  <c r="M577" i="3"/>
  <c r="M578" i="3"/>
  <c r="M579" i="3"/>
  <c r="M580" i="3"/>
  <c r="M581" i="3"/>
  <c r="M582" i="3"/>
  <c r="M583" i="3"/>
  <c r="M584" i="3"/>
  <c r="M585" i="3"/>
  <c r="M586" i="3"/>
  <c r="M587" i="3"/>
  <c r="M588" i="3"/>
  <c r="M589" i="3"/>
  <c r="M590" i="3"/>
  <c r="M591" i="3"/>
  <c r="M592" i="3"/>
  <c r="M593" i="3"/>
  <c r="M594" i="3"/>
  <c r="M595" i="3"/>
  <c r="M596" i="3"/>
  <c r="M597" i="3"/>
  <c r="M598" i="3"/>
  <c r="M599" i="3"/>
  <c r="M600" i="3"/>
  <c r="M601" i="3"/>
  <c r="M602" i="3"/>
  <c r="M603" i="3"/>
  <c r="M604" i="3"/>
  <c r="M605" i="3"/>
  <c r="M606" i="3"/>
  <c r="M607" i="3"/>
  <c r="M608" i="3"/>
  <c r="M609" i="3"/>
  <c r="M610" i="3"/>
  <c r="M611" i="3"/>
  <c r="M612" i="3"/>
  <c r="M613" i="3"/>
  <c r="M614" i="3"/>
  <c r="M615" i="3"/>
  <c r="M616" i="3"/>
  <c r="M617" i="3"/>
  <c r="M618" i="3"/>
  <c r="M619" i="3"/>
  <c r="M620" i="3"/>
  <c r="M621" i="3"/>
  <c r="M622" i="3"/>
  <c r="M623" i="3"/>
  <c r="M624" i="3"/>
  <c r="M625" i="3"/>
  <c r="M626" i="3"/>
  <c r="M627" i="3"/>
  <c r="M628" i="3"/>
  <c r="M629" i="3"/>
  <c r="M630" i="3"/>
  <c r="M631" i="3"/>
  <c r="M632" i="3"/>
  <c r="M633" i="3"/>
  <c r="M634" i="3"/>
  <c r="M635" i="3"/>
  <c r="M636" i="3"/>
  <c r="M637" i="3"/>
  <c r="M638" i="3"/>
  <c r="M639" i="3"/>
  <c r="M640" i="3"/>
  <c r="M641" i="3"/>
  <c r="M642" i="3"/>
  <c r="M643" i="3"/>
  <c r="M644" i="3"/>
  <c r="M645" i="3"/>
  <c r="M646" i="3"/>
  <c r="M647" i="3"/>
  <c r="M648" i="3"/>
  <c r="M649" i="3"/>
  <c r="M650" i="3"/>
  <c r="M651" i="3"/>
  <c r="M652" i="3"/>
  <c r="M653" i="3"/>
  <c r="M654" i="3"/>
  <c r="M655" i="3"/>
  <c r="M656" i="3"/>
  <c r="M657" i="3"/>
  <c r="M658" i="3"/>
  <c r="M659" i="3"/>
  <c r="M660" i="3"/>
  <c r="M661" i="3"/>
  <c r="M662" i="3"/>
  <c r="M663" i="3"/>
  <c r="M664" i="3"/>
  <c r="M665" i="3"/>
  <c r="M666" i="3"/>
  <c r="M667" i="3"/>
  <c r="M668" i="3"/>
  <c r="M669" i="3"/>
  <c r="M670" i="3"/>
  <c r="M671" i="3"/>
  <c r="M672" i="3"/>
  <c r="M673" i="3"/>
  <c r="M674" i="3"/>
  <c r="M675" i="3"/>
  <c r="M676" i="3"/>
  <c r="M677" i="3"/>
  <c r="M678" i="3"/>
  <c r="M679" i="3"/>
  <c r="M680" i="3"/>
  <c r="M681" i="3"/>
  <c r="M682" i="3"/>
  <c r="M683" i="3"/>
  <c r="M684" i="3"/>
  <c r="M685" i="3"/>
  <c r="M686" i="3"/>
  <c r="M687" i="3"/>
  <c r="M688" i="3"/>
  <c r="M689" i="3"/>
  <c r="M690" i="3"/>
  <c r="M691" i="3"/>
  <c r="M692" i="3"/>
  <c r="M693" i="3"/>
  <c r="M694" i="3"/>
  <c r="L5" i="3"/>
  <c r="L6" i="3"/>
  <c r="L2" i="3"/>
  <c r="L3" i="3"/>
  <c r="L4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L342" i="3"/>
  <c r="L343" i="3"/>
  <c r="L344" i="3"/>
  <c r="L345" i="3"/>
  <c r="L346" i="3"/>
  <c r="L347" i="3"/>
  <c r="L348" i="3"/>
  <c r="L349" i="3"/>
  <c r="L350" i="3"/>
  <c r="L351" i="3"/>
  <c r="L352" i="3"/>
  <c r="L353" i="3"/>
  <c r="L354" i="3"/>
  <c r="L355" i="3"/>
  <c r="L356" i="3"/>
  <c r="L357" i="3"/>
  <c r="L358" i="3"/>
  <c r="L359" i="3"/>
  <c r="L360" i="3"/>
  <c r="L361" i="3"/>
  <c r="L362" i="3"/>
  <c r="L363" i="3"/>
  <c r="L364" i="3"/>
  <c r="L365" i="3"/>
  <c r="L366" i="3"/>
  <c r="L367" i="3"/>
  <c r="L368" i="3"/>
  <c r="L369" i="3"/>
  <c r="L370" i="3"/>
  <c r="L371" i="3"/>
  <c r="L372" i="3"/>
  <c r="L373" i="3"/>
  <c r="L374" i="3"/>
  <c r="L375" i="3"/>
  <c r="L376" i="3"/>
  <c r="L377" i="3"/>
  <c r="L378" i="3"/>
  <c r="L379" i="3"/>
  <c r="L380" i="3"/>
  <c r="L381" i="3"/>
  <c r="L382" i="3"/>
  <c r="L383" i="3"/>
  <c r="L384" i="3"/>
  <c r="L385" i="3"/>
  <c r="L386" i="3"/>
  <c r="L387" i="3"/>
  <c r="L388" i="3"/>
  <c r="L389" i="3"/>
  <c r="L390" i="3"/>
  <c r="L391" i="3"/>
  <c r="L392" i="3"/>
  <c r="L393" i="3"/>
  <c r="L394" i="3"/>
  <c r="L395" i="3"/>
  <c r="L396" i="3"/>
  <c r="L397" i="3"/>
  <c r="L398" i="3"/>
  <c r="L399" i="3"/>
  <c r="L400" i="3"/>
  <c r="L401" i="3"/>
  <c r="L402" i="3"/>
  <c r="L403" i="3"/>
  <c r="L404" i="3"/>
  <c r="L405" i="3"/>
  <c r="L406" i="3"/>
  <c r="L407" i="3"/>
  <c r="L408" i="3"/>
  <c r="L409" i="3"/>
  <c r="L410" i="3"/>
  <c r="L411" i="3"/>
  <c r="L412" i="3"/>
  <c r="L413" i="3"/>
  <c r="L414" i="3"/>
  <c r="L415" i="3"/>
  <c r="L416" i="3"/>
  <c r="L417" i="3"/>
  <c r="L418" i="3"/>
  <c r="L419" i="3"/>
  <c r="L420" i="3"/>
  <c r="L421" i="3"/>
  <c r="L422" i="3"/>
  <c r="L423" i="3"/>
  <c r="L424" i="3"/>
  <c r="L425" i="3"/>
  <c r="L426" i="3"/>
  <c r="L427" i="3"/>
  <c r="L428" i="3"/>
  <c r="L429" i="3"/>
  <c r="L430" i="3"/>
  <c r="L431" i="3"/>
  <c r="L432" i="3"/>
  <c r="L433" i="3"/>
  <c r="L434" i="3"/>
  <c r="L435" i="3"/>
  <c r="L436" i="3"/>
  <c r="L437" i="3"/>
  <c r="L438" i="3"/>
  <c r="L439" i="3"/>
  <c r="L440" i="3"/>
  <c r="L441" i="3"/>
  <c r="L442" i="3"/>
  <c r="L443" i="3"/>
  <c r="L444" i="3"/>
  <c r="L445" i="3"/>
  <c r="L446" i="3"/>
  <c r="L447" i="3"/>
  <c r="L448" i="3"/>
  <c r="L449" i="3"/>
  <c r="L450" i="3"/>
  <c r="L451" i="3"/>
  <c r="L452" i="3"/>
  <c r="L453" i="3"/>
  <c r="L454" i="3"/>
  <c r="L455" i="3"/>
  <c r="L456" i="3"/>
  <c r="L457" i="3"/>
  <c r="L458" i="3"/>
  <c r="L459" i="3"/>
  <c r="L460" i="3"/>
  <c r="L461" i="3"/>
  <c r="L462" i="3"/>
  <c r="L463" i="3"/>
  <c r="L464" i="3"/>
  <c r="L465" i="3"/>
  <c r="L466" i="3"/>
  <c r="L467" i="3"/>
  <c r="L468" i="3"/>
  <c r="L469" i="3"/>
  <c r="L470" i="3"/>
  <c r="L471" i="3"/>
  <c r="L472" i="3"/>
  <c r="L473" i="3"/>
  <c r="L474" i="3"/>
  <c r="L475" i="3"/>
  <c r="L476" i="3"/>
  <c r="L477" i="3"/>
  <c r="L478" i="3"/>
  <c r="L479" i="3"/>
  <c r="L480" i="3"/>
  <c r="L481" i="3"/>
  <c r="L482" i="3"/>
  <c r="L483" i="3"/>
  <c r="L484" i="3"/>
  <c r="L485" i="3"/>
  <c r="L486" i="3"/>
  <c r="L487" i="3"/>
  <c r="L488" i="3"/>
  <c r="L489" i="3"/>
  <c r="L490" i="3"/>
  <c r="L491" i="3"/>
  <c r="L492" i="3"/>
  <c r="L493" i="3"/>
  <c r="L494" i="3"/>
  <c r="L495" i="3"/>
  <c r="L496" i="3"/>
  <c r="L497" i="3"/>
  <c r="L498" i="3"/>
  <c r="L499" i="3"/>
  <c r="L500" i="3"/>
  <c r="L501" i="3"/>
  <c r="L502" i="3"/>
  <c r="L503" i="3"/>
  <c r="L504" i="3"/>
  <c r="L505" i="3"/>
  <c r="L506" i="3"/>
  <c r="L507" i="3"/>
  <c r="L508" i="3"/>
  <c r="L509" i="3"/>
  <c r="L510" i="3"/>
  <c r="L511" i="3"/>
  <c r="L512" i="3"/>
  <c r="L513" i="3"/>
  <c r="L514" i="3"/>
  <c r="L515" i="3"/>
  <c r="L516" i="3"/>
  <c r="L517" i="3"/>
  <c r="L518" i="3"/>
  <c r="L519" i="3"/>
  <c r="L520" i="3"/>
  <c r="L521" i="3"/>
  <c r="L522" i="3"/>
  <c r="L523" i="3"/>
  <c r="L524" i="3"/>
  <c r="L525" i="3"/>
  <c r="L526" i="3"/>
  <c r="L527" i="3"/>
  <c r="L528" i="3"/>
  <c r="L529" i="3"/>
  <c r="L530" i="3"/>
  <c r="L531" i="3"/>
  <c r="L532" i="3"/>
  <c r="L533" i="3"/>
  <c r="L534" i="3"/>
  <c r="L535" i="3"/>
  <c r="L536" i="3"/>
  <c r="L537" i="3"/>
  <c r="L538" i="3"/>
  <c r="L539" i="3"/>
  <c r="L540" i="3"/>
  <c r="L541" i="3"/>
  <c r="L542" i="3"/>
  <c r="L543" i="3"/>
  <c r="L544" i="3"/>
  <c r="L545" i="3"/>
  <c r="L546" i="3"/>
  <c r="L547" i="3"/>
  <c r="L548" i="3"/>
  <c r="L549" i="3"/>
  <c r="L550" i="3"/>
  <c r="L551" i="3"/>
  <c r="L552" i="3"/>
  <c r="L553" i="3"/>
  <c r="L554" i="3"/>
  <c r="L555" i="3"/>
  <c r="L556" i="3"/>
  <c r="L557" i="3"/>
  <c r="L558" i="3"/>
  <c r="L559" i="3"/>
  <c r="L560" i="3"/>
  <c r="L561" i="3"/>
  <c r="L562" i="3"/>
  <c r="L563" i="3"/>
  <c r="L564" i="3"/>
  <c r="L565" i="3"/>
  <c r="L566" i="3"/>
  <c r="L567" i="3"/>
  <c r="L568" i="3"/>
  <c r="L569" i="3"/>
  <c r="L570" i="3"/>
  <c r="L571" i="3"/>
  <c r="L572" i="3"/>
  <c r="L573" i="3"/>
  <c r="L574" i="3"/>
  <c r="L575" i="3"/>
  <c r="L576" i="3"/>
  <c r="L577" i="3"/>
  <c r="L578" i="3"/>
  <c r="L579" i="3"/>
  <c r="L580" i="3"/>
  <c r="L581" i="3"/>
  <c r="L582" i="3"/>
  <c r="L583" i="3"/>
  <c r="L584" i="3"/>
  <c r="L585" i="3"/>
  <c r="L586" i="3"/>
  <c r="L587" i="3"/>
  <c r="L588" i="3"/>
  <c r="L589" i="3"/>
  <c r="L590" i="3"/>
  <c r="L591" i="3"/>
  <c r="L592" i="3"/>
  <c r="L593" i="3"/>
  <c r="L594" i="3"/>
  <c r="L595" i="3"/>
  <c r="L596" i="3"/>
  <c r="L597" i="3"/>
  <c r="L598" i="3"/>
  <c r="L599" i="3"/>
  <c r="L600" i="3"/>
  <c r="L601" i="3"/>
  <c r="L602" i="3"/>
  <c r="L603" i="3"/>
  <c r="L604" i="3"/>
  <c r="L605" i="3"/>
  <c r="L606" i="3"/>
  <c r="L607" i="3"/>
  <c r="L608" i="3"/>
  <c r="L609" i="3"/>
  <c r="L610" i="3"/>
  <c r="L611" i="3"/>
  <c r="L612" i="3"/>
  <c r="L613" i="3"/>
  <c r="L614" i="3"/>
  <c r="L615" i="3"/>
  <c r="L616" i="3"/>
  <c r="L617" i="3"/>
  <c r="L618" i="3"/>
  <c r="L619" i="3"/>
  <c r="L620" i="3"/>
  <c r="L621" i="3"/>
  <c r="L622" i="3"/>
  <c r="L623" i="3"/>
  <c r="L624" i="3"/>
  <c r="L625" i="3"/>
  <c r="L626" i="3"/>
  <c r="L627" i="3"/>
  <c r="L628" i="3"/>
  <c r="L629" i="3"/>
  <c r="L630" i="3"/>
  <c r="L631" i="3"/>
  <c r="L632" i="3"/>
  <c r="L633" i="3"/>
  <c r="L634" i="3"/>
  <c r="L635" i="3"/>
  <c r="L636" i="3"/>
  <c r="L637" i="3"/>
  <c r="L638" i="3"/>
  <c r="L639" i="3"/>
  <c r="L640" i="3"/>
  <c r="L641" i="3"/>
  <c r="L642" i="3"/>
  <c r="L643" i="3"/>
  <c r="L644" i="3"/>
  <c r="L645" i="3"/>
  <c r="L646" i="3"/>
  <c r="L647" i="3"/>
  <c r="L648" i="3"/>
  <c r="L649" i="3"/>
  <c r="L650" i="3"/>
  <c r="L651" i="3"/>
  <c r="L652" i="3"/>
  <c r="L653" i="3"/>
  <c r="L654" i="3"/>
  <c r="L655" i="3"/>
  <c r="L656" i="3"/>
  <c r="L657" i="3"/>
  <c r="L658" i="3"/>
  <c r="L659" i="3"/>
  <c r="L660" i="3"/>
  <c r="L661" i="3"/>
  <c r="L662" i="3"/>
  <c r="L663" i="3"/>
  <c r="L664" i="3"/>
  <c r="L665" i="3"/>
  <c r="L666" i="3"/>
  <c r="L667" i="3"/>
  <c r="L668" i="3"/>
  <c r="L669" i="3"/>
  <c r="L670" i="3"/>
  <c r="L671" i="3"/>
  <c r="L672" i="3"/>
  <c r="L673" i="3"/>
  <c r="L674" i="3"/>
  <c r="L675" i="3"/>
  <c r="L676" i="3"/>
  <c r="L677" i="3"/>
  <c r="L678" i="3"/>
  <c r="L679" i="3"/>
  <c r="L680" i="3"/>
  <c r="L681" i="3"/>
  <c r="L682" i="3"/>
  <c r="L683" i="3"/>
  <c r="L684" i="3"/>
  <c r="L685" i="3"/>
  <c r="L686" i="3"/>
  <c r="L687" i="3"/>
  <c r="L688" i="3"/>
  <c r="L689" i="3"/>
  <c r="L690" i="3"/>
  <c r="L691" i="3"/>
  <c r="L692" i="3"/>
  <c r="L693" i="3"/>
  <c r="L694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7E8DB02-1C85-4574-BB44-7B0DF775EF15}" keepAlive="1" name="Query - CategorySales" description="Connection to the 'CategorySales' query in the workbook." type="5" refreshedVersion="8" background="1" saveData="1">
    <dbPr connection="Provider=Microsoft.Mashup.OleDb.1;Data Source=$Workbook$;Location=CategorySales;Extended Properties=&quot;&quot;" command="SELECT * FROM [CategorySales]"/>
  </connection>
  <connection id="2" xr16:uid="{4F19AD03-C982-4489-B4D4-23807C4ACB27}" keepAlive="1" name="Query - QuarterlyPerformance" description="Connection to the 'QuarterlyPerformance' query in the workbook." type="5" refreshedVersion="8" background="1" saveData="1">
    <dbPr connection="Provider=Microsoft.Mashup.OleDb.1;Data Source=$Workbook$;Location=QuarterlyPerformance;Extended Properties=&quot;&quot;" command="SELECT * FROM [QuarterlyPerformance]"/>
  </connection>
  <connection id="3" xr16:uid="{570BDF73-13A3-4D71-B63F-56FD3A05C312}" keepAlive="1" name="Query - SalespersonSummary" description="Connection to the 'SalespersonSummary' query in the workbook." type="5" refreshedVersion="8" background="1" saveData="1">
    <dbPr connection="Provider=Microsoft.Mashup.OleDb.1;Data Source=$Workbook$;Location=SalespersonSummary;Extended Properties=&quot;&quot;" command="SELECT * FROM [SalespersonSummary]"/>
  </connection>
</connections>
</file>

<file path=xl/sharedStrings.xml><?xml version="1.0" encoding="utf-8"?>
<sst xmlns="http://schemas.openxmlformats.org/spreadsheetml/2006/main" count="3949" uniqueCount="109">
  <si>
    <t>SalesPersonID</t>
  </si>
  <si>
    <t>SalespersonName</t>
  </si>
  <si>
    <t>AssignedTerritory</t>
  </si>
  <si>
    <t>SalesYear</t>
  </si>
  <si>
    <t>SalesQuarter</t>
  </si>
  <si>
    <t>QuotaDate</t>
  </si>
  <si>
    <t>ActualSales</t>
  </si>
  <si>
    <t>SalesQuota</t>
  </si>
  <si>
    <t>PreviousQuota</t>
  </si>
  <si>
    <t>QuotaVariance</t>
  </si>
  <si>
    <t>AttainmentPct</t>
  </si>
  <si>
    <t>OrderCount</t>
  </si>
  <si>
    <t>PeriodStatus</t>
  </si>
  <si>
    <t>IsComparablePeriod</t>
  </si>
  <si>
    <t>QuotaQualityFlag</t>
  </si>
  <si>
    <t>David Campbell</t>
  </si>
  <si>
    <t>Northwest</t>
  </si>
  <si>
    <t>2011-05-31 00:00:00.000</t>
  </si>
  <si>
    <t>NULL</t>
  </si>
  <si>
    <t>Partial sales history</t>
  </si>
  <si>
    <t>No prior quota</t>
  </si>
  <si>
    <t>Garrett Vargas</t>
  </si>
  <si>
    <t>Canada</t>
  </si>
  <si>
    <t>Jillian Carson</t>
  </si>
  <si>
    <t>Central</t>
  </si>
  <si>
    <t>José Saraiva</t>
  </si>
  <si>
    <t>Linda Mitchell</t>
  </si>
  <si>
    <t>Southwest</t>
  </si>
  <si>
    <t>Michael Blythe</t>
  </si>
  <si>
    <t>Northeast</t>
  </si>
  <si>
    <t>Pamela Ansman-Wolfe</t>
  </si>
  <si>
    <t>Shu Ito</t>
  </si>
  <si>
    <t>Stephen Jiang</t>
  </si>
  <si>
    <t>Unassigned</t>
  </si>
  <si>
    <t>Tsvi Reiter</t>
  </si>
  <si>
    <t>Southeast</t>
  </si>
  <si>
    <t>2011-08-31 00:00:00.000</t>
  </si>
  <si>
    <t>Comparable period</t>
  </si>
  <si>
    <t>No major change flagged</t>
  </si>
  <si>
    <t>2011-12-01 00:00:00.000</t>
  </si>
  <si>
    <t>Review: quota increased &gt;5x</t>
  </si>
  <si>
    <t>2012-02-29 00:00:00.000</t>
  </si>
  <si>
    <t>Amy Alberts</t>
  </si>
  <si>
    <t>2012-05-30 00:00:00.000</t>
  </si>
  <si>
    <t>Jae Pak</t>
  </si>
  <si>
    <t>United Kingdom</t>
  </si>
  <si>
    <t>Ranjit Varkey Chudukatil</t>
  </si>
  <si>
    <t>France</t>
  </si>
  <si>
    <t>2012-08-30 00:00:00.000</t>
  </si>
  <si>
    <t>Review: quota fell by &gt;80%</t>
  </si>
  <si>
    <t>Tete Mensa-Annan</t>
  </si>
  <si>
    <t>2012-11-30 00:00:00.000</t>
  </si>
  <si>
    <t>2013-02-28 00:00:00.000</t>
  </si>
  <si>
    <t>2013-05-30 00:00:00.000</t>
  </si>
  <si>
    <t>Lynn Tsoflias</t>
  </si>
  <si>
    <t>Australia</t>
  </si>
  <si>
    <t>Rachel Valdez</t>
  </si>
  <si>
    <t>Germany</t>
  </si>
  <si>
    <t>Syed Abbas</t>
  </si>
  <si>
    <t>No attributed sales</t>
  </si>
  <si>
    <t>2013-08-30 00:00:00.000</t>
  </si>
  <si>
    <t>2013-11-30 00:00:00.000</t>
  </si>
  <si>
    <t>2014-03-01 00:00:00.000</t>
  </si>
  <si>
    <t>No quota record</t>
  </si>
  <si>
    <t>ProductCategoryID</t>
  </si>
  <si>
    <t>CategoryName</t>
  </si>
  <si>
    <t>OrdersContainingCategory</t>
  </si>
  <si>
    <t>UnitsSold</t>
  </si>
  <si>
    <t>CategorySales</t>
  </si>
  <si>
    <t>PerformanceBucket</t>
  </si>
  <si>
    <t>Accessories</t>
  </si>
  <si>
    <t>Bikes</t>
  </si>
  <si>
    <t>Clothing</t>
  </si>
  <si>
    <t>Components</t>
  </si>
  <si>
    <t>Below quota</t>
  </si>
  <si>
    <t>Met or exceeded quota</t>
  </si>
  <si>
    <t>ComparableQuarters</t>
  </si>
  <si>
    <t>BelowQuotaQuarters</t>
  </si>
  <si>
    <t>MetOrExceededQuarters</t>
  </si>
  <si>
    <t>BelowQuotaRatePct</t>
  </si>
  <si>
    <t>TotalActualSales</t>
  </si>
  <si>
    <t>TotalQuota</t>
  </si>
  <si>
    <t>NetVariance</t>
  </si>
  <si>
    <t>WeightedAttainmentPct</t>
  </si>
  <si>
    <t>ExpectedSalespersonName</t>
  </si>
  <si>
    <t>NameCheck</t>
  </si>
  <si>
    <t>RecalculatedActualSales</t>
  </si>
  <si>
    <t>RecalculatedQuota</t>
  </si>
  <si>
    <t>Row Labels</t>
  </si>
  <si>
    <t>Grand Total</t>
  </si>
  <si>
    <t>Sum of ActualSales</t>
  </si>
  <si>
    <t>Sum of SalesQuota</t>
  </si>
  <si>
    <t>Attainment %</t>
  </si>
  <si>
    <t>Sum of NetVariance</t>
  </si>
  <si>
    <t>Column Labels</t>
  </si>
  <si>
    <t>Sum of CategorySales</t>
  </si>
  <si>
    <t>Total Sum of CategorySales</t>
  </si>
  <si>
    <t>Total Sum of CategorySales2</t>
  </si>
  <si>
    <t>Sum of CategorySales2</t>
  </si>
  <si>
    <t>ADVENTUREWORKS | SALES PERFORMANCE DASHBOARD</t>
  </si>
  <si>
    <t>Actual Sales</t>
  </si>
  <si>
    <t>Total Quota</t>
  </si>
  <si>
    <t>Net Variance</t>
  </si>
  <si>
    <t>Weighted Attainment</t>
  </si>
  <si>
    <t>Below-Quota Rate</t>
  </si>
  <si>
    <t>Sum</t>
  </si>
  <si>
    <t>Average</t>
  </si>
  <si>
    <t>Running Total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</si>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</sst>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409]#,##0.00"/>
    <numFmt numFmtId="170" formatCode="&quot;$&quot;0.00,,&quot;M&quot;;[Red]\-&quot;$&quot;0.00,,&quot;M&quot;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left"/>
    </xf>
    <xf numFmtId="10" fontId="0" fillId="0" borderId="0" xfId="1" applyNumberFormat="1" applyFont="1"/>
    <xf numFmtId="0" fontId="0" fillId="0" borderId="0" xfId="0" pivotButton="1"/>
    <xf numFmtId="164" fontId="0" fillId="0" borderId="0" xfId="0" applyNumberFormat="1"/>
    <xf numFmtId="10" fontId="0" fillId="0" borderId="0" xfId="0" applyNumberFormat="1"/>
    <xf numFmtId="0" fontId="3" fillId="0" borderId="0" xfId="0" applyFont="1" applyAlignment="1">
      <alignment horizontal="center"/>
    </xf>
    <xf numFmtId="0" fontId="2" fillId="0" borderId="0" xfId="0" applyFont="1" applyAlignment="1"/>
    <xf numFmtId="0" fontId="4" fillId="0" borderId="0" xfId="0" applyFont="1" applyAlignment="1">
      <alignment horizontal="center"/>
    </xf>
    <xf numFmtId="170" fontId="0" fillId="0" borderId="0" xfId="0" applyNumberFormat="1"/>
  </cellXfs>
  <cellStyles count="2">
    <cellStyle name="Normal" xfId="0" builtinId="0"/>
    <cellStyle name="Percent" xfId="1" builtinId="5"/>
  </cellStyles>
  <dxfs count="30">
    <dxf>
      <numFmt numFmtId="164" formatCode="[$$-409]#,##0.00"/>
    </dxf>
    <dxf>
      <numFmt numFmtId="164" formatCode="[$$-409]#,##0.00"/>
    </dxf>
    <dxf>
      <numFmt numFmtId="14" formatCode="0.00%"/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4" formatCode="0.00%"/>
    </dxf>
    <dxf>
      <numFmt numFmtId="164" formatCode="[$$-409]#,##0.00"/>
    </dxf>
    <dxf>
      <numFmt numFmtId="164" formatCode="[$$-409]#,##0.0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[AdventureWorks_Sales_Analysis.xlsx]CategoryMixChart!PivotTable4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Product Category Sales Mix: Below vs. Met Quota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CategoryMixChart!$B$3:$B$4</c:f>
              <c:strCache>
                <c:ptCount val="1"/>
                <c:pt idx="0">
                  <c:v>Accessories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CategoryMixChart!$A$5:$A$7</c:f>
              <c:strCache>
                <c:ptCount val="2"/>
                <c:pt idx="0">
                  <c:v>Below quota</c:v>
                </c:pt>
                <c:pt idx="1">
                  <c:v>Met or exceeded quota</c:v>
                </c:pt>
              </c:strCache>
            </c:strRef>
          </c:cat>
          <c:val>
            <c:numRef>
              <c:f>CategoryMixChart!$B$5:$B$7</c:f>
              <c:numCache>
                <c:formatCode>0.00%</c:formatCode>
                <c:ptCount val="2"/>
                <c:pt idx="0">
                  <c:v>0.83336989927826211</c:v>
                </c:pt>
                <c:pt idx="1">
                  <c:v>0.16663010072173781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E9-467F-A611-5E313FBF9C5B}"/>
            </c:ext>
          </c:extLst>
        </c:ser>
        <c:ser>
          <c:idx val="1"/>
          <c:order val="1"/>
          <c:tx>
            <c:strRef>
              <c:f>CategoryMixChart!$C$3:$C$4</c:f>
              <c:strCache>
                <c:ptCount val="1"/>
                <c:pt idx="0">
                  <c:v>Bikes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CategoryMixChart!$A$5:$A$7</c:f>
              <c:strCache>
                <c:ptCount val="2"/>
                <c:pt idx="0">
                  <c:v>Below quota</c:v>
                </c:pt>
                <c:pt idx="1">
                  <c:v>Met or exceeded quota</c:v>
                </c:pt>
              </c:strCache>
            </c:strRef>
          </c:cat>
          <c:val>
            <c:numRef>
              <c:f>CategoryMixChart!$C$5:$C$7</c:f>
              <c:numCache>
                <c:formatCode>0.00%</c:formatCode>
                <c:ptCount val="2"/>
                <c:pt idx="0">
                  <c:v>0.74113414085836815</c:v>
                </c:pt>
                <c:pt idx="1">
                  <c:v>0.25886585914163174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E9-467F-A611-5E313FBF9C5B}"/>
            </c:ext>
          </c:extLst>
        </c:ser>
        <c:ser>
          <c:idx val="2"/>
          <c:order val="2"/>
          <c:tx>
            <c:strRef>
              <c:f>CategoryMixChart!$D$3:$D$4</c:f>
              <c:strCache>
                <c:ptCount val="1"/>
                <c:pt idx="0">
                  <c:v>Clothing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CategoryMixChart!$A$5:$A$7</c:f>
              <c:strCache>
                <c:ptCount val="2"/>
                <c:pt idx="0">
                  <c:v>Below quota</c:v>
                </c:pt>
                <c:pt idx="1">
                  <c:v>Met or exceeded quota</c:v>
                </c:pt>
              </c:strCache>
            </c:strRef>
          </c:cat>
          <c:val>
            <c:numRef>
              <c:f>CategoryMixChart!$D$5:$D$7</c:f>
              <c:numCache>
                <c:formatCode>0.00%</c:formatCode>
                <c:ptCount val="2"/>
                <c:pt idx="0">
                  <c:v>0.83829099012156116</c:v>
                </c:pt>
                <c:pt idx="1">
                  <c:v>0.16170900987843886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4E9-467F-A611-5E313FBF9C5B}"/>
            </c:ext>
          </c:extLst>
        </c:ser>
        <c:ser>
          <c:idx val="3"/>
          <c:order val="3"/>
          <c:tx>
            <c:strRef>
              <c:f>CategoryMixChart!$E$3:$E$4</c:f>
              <c:strCache>
                <c:ptCount val="1"/>
                <c:pt idx="0">
                  <c:v>Components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CategoryMixChart!$A$5:$A$7</c:f>
              <c:strCache>
                <c:ptCount val="2"/>
                <c:pt idx="0">
                  <c:v>Below quota</c:v>
                </c:pt>
                <c:pt idx="1">
                  <c:v>Met or exceeded quota</c:v>
                </c:pt>
              </c:strCache>
            </c:strRef>
          </c:cat>
          <c:val>
            <c:numRef>
              <c:f>CategoryMixChart!$E$5:$E$7</c:f>
              <c:numCache>
                <c:formatCode>0.00%</c:formatCode>
                <c:ptCount val="2"/>
                <c:pt idx="0">
                  <c:v>0.82440176177371671</c:v>
                </c:pt>
                <c:pt idx="1">
                  <c:v>0.17559823822628334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4E9-467F-A611-5E313FBF9C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39155600"/>
        <c:axId val="2058303344"/>
      </c:barChart>
      <c:catAx>
        <c:axId val="2039155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8303344"/>
        <c:crosses val="autoZero"/>
        <c:auto val="1"/>
        <c:lblAlgn val="ctr"/>
        <c:lblOffset val="100"/>
        <c:noMultiLvlLbl val="0"/>
      </c:catAx>
      <c:valAx>
        <c:axId val="2058303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9155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[AdventureWorks_Sales_Analysis.xlsx]QuarterlyPivot!PivotTable1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Quarterly Actual Sales vs Sales Quota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QuarterlyPivot!$C$3</c:f>
              <c:strCache>
                <c:ptCount val="1"/>
                <c:pt idx="0">
                  <c:v>Sum of ActualSales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QuarterlyPivot!$A$4:$B$15</c:f>
              <c:multiLvlStrCache>
                <c:ptCount val="11"/>
                <c:lvl>
                  <c:pt idx="0">
                    <c:v>3</c:v>
                  </c:pt>
                  <c:pt idx="1">
                    <c:v>4</c:v>
                  </c:pt>
                  <c:pt idx="2">
                    <c:v>1</c:v>
                  </c:pt>
                  <c:pt idx="3">
                    <c:v>2</c:v>
                  </c:pt>
                  <c:pt idx="4">
                    <c:v>3</c:v>
                  </c:pt>
                  <c:pt idx="5">
                    <c:v>4</c:v>
                  </c:pt>
                  <c:pt idx="6">
                    <c:v>1</c:v>
                  </c:pt>
                  <c:pt idx="7">
                    <c:v>2</c:v>
                  </c:pt>
                  <c:pt idx="8">
                    <c:v>3</c:v>
                  </c:pt>
                  <c:pt idx="9">
                    <c:v>4</c:v>
                  </c:pt>
                  <c:pt idx="10">
                    <c:v>1</c:v>
                  </c:pt>
                </c:lvl>
                <c:lvl>
                  <c:pt idx="0">
                    <c:v>2011</c:v>
                  </c:pt>
                  <c:pt idx="2">
                    <c:v>2012</c:v>
                  </c:pt>
                  <c:pt idx="6">
                    <c:v>2013</c:v>
                  </c:pt>
                  <c:pt idx="10">
                    <c:v>2014</c:v>
                  </c:pt>
                </c:lvl>
              </c:multiLvlStrCache>
            </c:multiLvlStrRef>
          </c:cat>
          <c:val>
            <c:numRef>
              <c:f>QuarterlyPivot!$C$4:$C$15</c:f>
              <c:numCache>
                <c:formatCode>[$$-409]#,##0.00</c:formatCode>
                <c:ptCount val="11"/>
                <c:pt idx="0">
                  <c:v>3549026.3861839995</c:v>
                </c:pt>
                <c:pt idx="1">
                  <c:v>4740197.03467</c:v>
                </c:pt>
                <c:pt idx="2">
                  <c:v>6508085.9979660008</c:v>
                </c:pt>
                <c:pt idx="3">
                  <c:v>6996684.003020999</c:v>
                </c:pt>
                <c:pt idx="4">
                  <c:v>7741329.7370809997</c:v>
                </c:pt>
                <c:pt idx="5">
                  <c:v>5887601.6390660005</c:v>
                </c:pt>
                <c:pt idx="6">
                  <c:v>6309986.1953189997</c:v>
                </c:pt>
                <c:pt idx="7">
                  <c:v>8876224.1846740004</c:v>
                </c:pt>
                <c:pt idx="8">
                  <c:v>9820157.7006520014</c:v>
                </c:pt>
                <c:pt idx="9">
                  <c:v>7883983.6409900002</c:v>
                </c:pt>
                <c:pt idx="10">
                  <c:v>8268335.2185269995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E3-4FC0-9F43-2B14CC8EF0E7}"/>
            </c:ext>
          </c:extLst>
        </c:ser>
        <c:ser>
          <c:idx val="1"/>
          <c:order val="1"/>
          <c:tx>
            <c:strRef>
              <c:f>QuarterlyPivot!$D$3</c:f>
              <c:strCache>
                <c:ptCount val="1"/>
                <c:pt idx="0">
                  <c:v>Sum of SalesQuota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QuarterlyPivot!$A$4:$B$15</c:f>
              <c:multiLvlStrCache>
                <c:ptCount val="11"/>
                <c:lvl>
                  <c:pt idx="0">
                    <c:v>3</c:v>
                  </c:pt>
                  <c:pt idx="1">
                    <c:v>4</c:v>
                  </c:pt>
                  <c:pt idx="2">
                    <c:v>1</c:v>
                  </c:pt>
                  <c:pt idx="3">
                    <c:v>2</c:v>
                  </c:pt>
                  <c:pt idx="4">
                    <c:v>3</c:v>
                  </c:pt>
                  <c:pt idx="5">
                    <c:v>4</c:v>
                  </c:pt>
                  <c:pt idx="6">
                    <c:v>1</c:v>
                  </c:pt>
                  <c:pt idx="7">
                    <c:v>2</c:v>
                  </c:pt>
                  <c:pt idx="8">
                    <c:v>3</c:v>
                  </c:pt>
                  <c:pt idx="9">
                    <c:v>4</c:v>
                  </c:pt>
                  <c:pt idx="10">
                    <c:v>1</c:v>
                  </c:pt>
                </c:lvl>
                <c:lvl>
                  <c:pt idx="0">
                    <c:v>2011</c:v>
                  </c:pt>
                  <c:pt idx="2">
                    <c:v>2012</c:v>
                  </c:pt>
                  <c:pt idx="6">
                    <c:v>2013</c:v>
                  </c:pt>
                  <c:pt idx="10">
                    <c:v>2014</c:v>
                  </c:pt>
                </c:lvl>
              </c:multiLvlStrCache>
            </c:multiLvlStrRef>
          </c:cat>
          <c:val>
            <c:numRef>
              <c:f>QuarterlyPivot!$D$4:$D$15</c:f>
              <c:numCache>
                <c:formatCode>[$$-409]#,##0.00</c:formatCode>
                <c:ptCount val="11"/>
                <c:pt idx="0">
                  <c:v>5627000</c:v>
                </c:pt>
                <c:pt idx="1">
                  <c:v>4750000</c:v>
                </c:pt>
                <c:pt idx="2">
                  <c:v>5068000</c:v>
                </c:pt>
                <c:pt idx="3">
                  <c:v>10537000</c:v>
                </c:pt>
                <c:pt idx="4">
                  <c:v>8654000</c:v>
                </c:pt>
                <c:pt idx="5">
                  <c:v>5913000</c:v>
                </c:pt>
                <c:pt idx="6">
                  <c:v>8039000</c:v>
                </c:pt>
                <c:pt idx="7">
                  <c:v>13733000</c:v>
                </c:pt>
                <c:pt idx="8">
                  <c:v>11097000</c:v>
                </c:pt>
                <c:pt idx="9">
                  <c:v>8051000</c:v>
                </c:pt>
                <c:pt idx="10">
                  <c:v>10359000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E3-4FC0-9F43-2B14CC8EF0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2677600"/>
        <c:axId val="1746742832"/>
      </c:barChart>
      <c:catAx>
        <c:axId val="1892677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6742832"/>
        <c:crosses val="autoZero"/>
        <c:auto val="1"/>
        <c:lblAlgn val="ctr"/>
        <c:lblOffset val="100"/>
        <c:noMultiLvlLbl val="0"/>
      </c:catAx>
      <c:valAx>
        <c:axId val="1746742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0.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677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[AdventureWorks_Sales_Analysis.xlsx]CategoryMixChart!PivotTable4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Product Category Sales Mix: Below vs. Met Quota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CategoryMixChart!$B$3:$B$4</c:f>
              <c:strCache>
                <c:ptCount val="1"/>
                <c:pt idx="0">
                  <c:v>Accessories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CategoryMixChart!$A$5:$A$7</c:f>
              <c:strCache>
                <c:ptCount val="2"/>
                <c:pt idx="0">
                  <c:v>Below quota</c:v>
                </c:pt>
                <c:pt idx="1">
                  <c:v>Met or exceeded quota</c:v>
                </c:pt>
              </c:strCache>
            </c:strRef>
          </c:cat>
          <c:val>
            <c:numRef>
              <c:f>CategoryMixChart!$B$5:$B$7</c:f>
              <c:numCache>
                <c:formatCode>0.00%</c:formatCode>
                <c:ptCount val="2"/>
                <c:pt idx="0">
                  <c:v>0.83336989927826211</c:v>
                </c:pt>
                <c:pt idx="1">
                  <c:v>0.16663010072173781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7C-4D47-96B8-2605A4A408E4}"/>
            </c:ext>
          </c:extLst>
        </c:ser>
        <c:ser>
          <c:idx val="1"/>
          <c:order val="1"/>
          <c:tx>
            <c:strRef>
              <c:f>CategoryMixChart!$C$3:$C$4</c:f>
              <c:strCache>
                <c:ptCount val="1"/>
                <c:pt idx="0">
                  <c:v>Bikes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CategoryMixChart!$A$5:$A$7</c:f>
              <c:strCache>
                <c:ptCount val="2"/>
                <c:pt idx="0">
                  <c:v>Below quota</c:v>
                </c:pt>
                <c:pt idx="1">
                  <c:v>Met or exceeded quota</c:v>
                </c:pt>
              </c:strCache>
            </c:strRef>
          </c:cat>
          <c:val>
            <c:numRef>
              <c:f>CategoryMixChart!$C$5:$C$7</c:f>
              <c:numCache>
                <c:formatCode>0.00%</c:formatCode>
                <c:ptCount val="2"/>
                <c:pt idx="0">
                  <c:v>0.74113414085836815</c:v>
                </c:pt>
                <c:pt idx="1">
                  <c:v>0.25886585914163174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7C-4D47-96B8-2605A4A408E4}"/>
            </c:ext>
          </c:extLst>
        </c:ser>
        <c:ser>
          <c:idx val="2"/>
          <c:order val="2"/>
          <c:tx>
            <c:strRef>
              <c:f>CategoryMixChart!$D$3:$D$4</c:f>
              <c:strCache>
                <c:ptCount val="1"/>
                <c:pt idx="0">
                  <c:v>Clothing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CategoryMixChart!$A$5:$A$7</c:f>
              <c:strCache>
                <c:ptCount val="2"/>
                <c:pt idx="0">
                  <c:v>Below quota</c:v>
                </c:pt>
                <c:pt idx="1">
                  <c:v>Met or exceeded quota</c:v>
                </c:pt>
              </c:strCache>
            </c:strRef>
          </c:cat>
          <c:val>
            <c:numRef>
              <c:f>CategoryMixChart!$D$5:$D$7</c:f>
              <c:numCache>
                <c:formatCode>0.00%</c:formatCode>
                <c:ptCount val="2"/>
                <c:pt idx="0">
                  <c:v>0.83829099012156116</c:v>
                </c:pt>
                <c:pt idx="1">
                  <c:v>0.16170900987843886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D7C-4D47-96B8-2605A4A408E4}"/>
            </c:ext>
          </c:extLst>
        </c:ser>
        <c:ser>
          <c:idx val="3"/>
          <c:order val="3"/>
          <c:tx>
            <c:strRef>
              <c:f>CategoryMixChart!$E$3:$E$4</c:f>
              <c:strCache>
                <c:ptCount val="1"/>
                <c:pt idx="0">
                  <c:v>Components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CategoryMixChart!$A$5:$A$7</c:f>
              <c:strCache>
                <c:ptCount val="2"/>
                <c:pt idx="0">
                  <c:v>Below quota</c:v>
                </c:pt>
                <c:pt idx="1">
                  <c:v>Met or exceeded quota</c:v>
                </c:pt>
              </c:strCache>
            </c:strRef>
          </c:cat>
          <c:val>
            <c:numRef>
              <c:f>CategoryMixChart!$E$5:$E$7</c:f>
              <c:numCache>
                <c:formatCode>0.00%</c:formatCode>
                <c:ptCount val="2"/>
                <c:pt idx="0">
                  <c:v>0.82440176177371671</c:v>
                </c:pt>
                <c:pt idx="1">
                  <c:v>0.17559823822628334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D7C-4D47-96B8-2605A4A4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39155600"/>
        <c:axId val="2058303344"/>
      </c:barChart>
      <c:catAx>
        <c:axId val="2039155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8303344"/>
        <c:crosses val="autoZero"/>
        <c:auto val="1"/>
        <c:lblAlgn val="ctr"/>
        <c:lblOffset val="100"/>
        <c:noMultiLvlLbl val="0"/>
      </c:catAx>
      <c:valAx>
        <c:axId val="2058303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9155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[AdventureWorks_Sales_Analysis.xlsx]SalespersonPivot!PivotTable2</c:name>
    <c:fmtId val="2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Salesperson Quota Shortfall</a:t>
            </a:r>
            <a:endParaRPr lang="en-IN"/>
          </a:p>
        </c:rich>
      </c:tx>
      <c:layout>
        <c:manualLayout>
          <c:xMode val="edge"/>
          <c:yMode val="edge"/>
          <c:x val="0.27005555555555555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8159667541557305E-2"/>
          <c:y val="0.23281605424321961"/>
          <c:w val="0.7721550743657043"/>
          <c:h val="0.7208876494604841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SalespersonPivot!$B$3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SalespersonPivot!$A$4:$A$21</c:f>
              <c:strCache>
                <c:ptCount val="17"/>
                <c:pt idx="0">
                  <c:v>Jae Pak</c:v>
                </c:pt>
                <c:pt idx="1">
                  <c:v>Jillian Carson</c:v>
                </c:pt>
                <c:pt idx="2">
                  <c:v>Michael Blythe</c:v>
                </c:pt>
                <c:pt idx="3">
                  <c:v>Shu Ito</c:v>
                </c:pt>
                <c:pt idx="4">
                  <c:v>José Saraiva</c:v>
                </c:pt>
                <c:pt idx="5">
                  <c:v>Ranjit Varkey Chudukatil</c:v>
                </c:pt>
                <c:pt idx="6">
                  <c:v>Linda Mitchell</c:v>
                </c:pt>
                <c:pt idx="7">
                  <c:v>Tsvi Reiter</c:v>
                </c:pt>
                <c:pt idx="8">
                  <c:v>Garrett Vargas</c:v>
                </c:pt>
                <c:pt idx="9">
                  <c:v>Rachel Valdez</c:v>
                </c:pt>
                <c:pt idx="10">
                  <c:v>Tete Mensa-Annan</c:v>
                </c:pt>
                <c:pt idx="11">
                  <c:v>Lynn Tsoflias</c:v>
                </c:pt>
                <c:pt idx="12">
                  <c:v>David Campbell</c:v>
                </c:pt>
                <c:pt idx="13">
                  <c:v>Pamela Ansman-Wolfe</c:v>
                </c:pt>
                <c:pt idx="14">
                  <c:v>Stephen Jiang</c:v>
                </c:pt>
                <c:pt idx="15">
                  <c:v>Amy Alberts</c:v>
                </c:pt>
                <c:pt idx="16">
                  <c:v>Syed Abbas</c:v>
                </c:pt>
              </c:strCache>
            </c:strRef>
          </c:cat>
          <c:val>
            <c:numRef>
              <c:f>SalespersonPivot!$B$4:$B$21</c:f>
              <c:numCache>
                <c:formatCode>General</c:formatCode>
                <c:ptCount val="17"/>
                <c:pt idx="0">
                  <c:v>-2450445.4071649993</c:v>
                </c:pt>
                <c:pt idx="1">
                  <c:v>-1951878.2378790006</c:v>
                </c:pt>
                <c:pt idx="2">
                  <c:v>-1934866.9007579982</c:v>
                </c:pt>
                <c:pt idx="3">
                  <c:v>-1196827.9421109995</c:v>
                </c:pt>
                <c:pt idx="4">
                  <c:v>-1178812.4811189994</c:v>
                </c:pt>
                <c:pt idx="5">
                  <c:v>-1166347.3685459998</c:v>
                </c:pt>
                <c:pt idx="6">
                  <c:v>-1070179.5668610018</c:v>
                </c:pt>
                <c:pt idx="7">
                  <c:v>-1038298.4445110001</c:v>
                </c:pt>
                <c:pt idx="8">
                  <c:v>-666074.96177599998</c:v>
                </c:pt>
                <c:pt idx="9">
                  <c:v>-596919.53525900003</c:v>
                </c:pt>
                <c:pt idx="10">
                  <c:v>-583837.30516100023</c:v>
                </c:pt>
                <c:pt idx="11">
                  <c:v>-492534.05771000008</c:v>
                </c:pt>
                <c:pt idx="12">
                  <c:v>-280479.61593499966</c:v>
                </c:pt>
                <c:pt idx="13">
                  <c:v>-236443.89212900028</c:v>
                </c:pt>
                <c:pt idx="14">
                  <c:v>-222529.06605000002</c:v>
                </c:pt>
                <c:pt idx="15">
                  <c:v>-143240.815955</c:v>
                </c:pt>
                <c:pt idx="16">
                  <c:v>-36672.662924999982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97-4683-9EB3-1F406B738C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56326656"/>
        <c:axId val="2058282704"/>
      </c:barChart>
      <c:catAx>
        <c:axId val="205632665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8282704"/>
        <c:crosses val="autoZero"/>
        <c:auto val="1"/>
        <c:lblAlgn val="ctr"/>
        <c:lblOffset val="100"/>
        <c:noMultiLvlLbl val="0"/>
      </c:catAx>
      <c:valAx>
        <c:axId val="2058282704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0.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6326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[AdventureWorks_Sales_Analysis.xlsx]SalespersonPivot!PivotTable2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Salesperson Quota Shortfall</a:t>
            </a:r>
            <a:endParaRPr lang="en-IN"/>
          </a:p>
        </c:rich>
      </c:tx>
      <c:layout>
        <c:manualLayout>
          <c:xMode val="edge"/>
          <c:yMode val="edge"/>
          <c:x val="0.27005555555555555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8159667541557305E-2"/>
          <c:y val="0.23281605424321961"/>
          <c:w val="0.7721550743657043"/>
          <c:h val="0.7208876494604841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SalespersonPivot!$B$3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SalespersonPivot!$A$4:$A$21</c:f>
              <c:strCache>
                <c:ptCount val="17"/>
                <c:pt idx="0">
                  <c:v>Jae Pak</c:v>
                </c:pt>
                <c:pt idx="1">
                  <c:v>Jillian Carson</c:v>
                </c:pt>
                <c:pt idx="2">
                  <c:v>Michael Blythe</c:v>
                </c:pt>
                <c:pt idx="3">
                  <c:v>Shu Ito</c:v>
                </c:pt>
                <c:pt idx="4">
                  <c:v>José Saraiva</c:v>
                </c:pt>
                <c:pt idx="5">
                  <c:v>Ranjit Varkey Chudukatil</c:v>
                </c:pt>
                <c:pt idx="6">
                  <c:v>Linda Mitchell</c:v>
                </c:pt>
                <c:pt idx="7">
                  <c:v>Tsvi Reiter</c:v>
                </c:pt>
                <c:pt idx="8">
                  <c:v>Garrett Vargas</c:v>
                </c:pt>
                <c:pt idx="9">
                  <c:v>Rachel Valdez</c:v>
                </c:pt>
                <c:pt idx="10">
                  <c:v>Tete Mensa-Annan</c:v>
                </c:pt>
                <c:pt idx="11">
                  <c:v>Lynn Tsoflias</c:v>
                </c:pt>
                <c:pt idx="12">
                  <c:v>David Campbell</c:v>
                </c:pt>
                <c:pt idx="13">
                  <c:v>Pamela Ansman-Wolfe</c:v>
                </c:pt>
                <c:pt idx="14">
                  <c:v>Stephen Jiang</c:v>
                </c:pt>
                <c:pt idx="15">
                  <c:v>Amy Alberts</c:v>
                </c:pt>
                <c:pt idx="16">
                  <c:v>Syed Abbas</c:v>
                </c:pt>
              </c:strCache>
            </c:strRef>
          </c:cat>
          <c:val>
            <c:numRef>
              <c:f>SalespersonPivot!$B$4:$B$21</c:f>
              <c:numCache>
                <c:formatCode>General</c:formatCode>
                <c:ptCount val="17"/>
                <c:pt idx="0">
                  <c:v>-2450445.4071649993</c:v>
                </c:pt>
                <c:pt idx="1">
                  <c:v>-1951878.2378790006</c:v>
                </c:pt>
                <c:pt idx="2">
                  <c:v>-1934866.9007579982</c:v>
                </c:pt>
                <c:pt idx="3">
                  <c:v>-1196827.9421109995</c:v>
                </c:pt>
                <c:pt idx="4">
                  <c:v>-1178812.4811189994</c:v>
                </c:pt>
                <c:pt idx="5">
                  <c:v>-1166347.3685459998</c:v>
                </c:pt>
                <c:pt idx="6">
                  <c:v>-1070179.5668610018</c:v>
                </c:pt>
                <c:pt idx="7">
                  <c:v>-1038298.4445110001</c:v>
                </c:pt>
                <c:pt idx="8">
                  <c:v>-666074.96177599998</c:v>
                </c:pt>
                <c:pt idx="9">
                  <c:v>-596919.53525900003</c:v>
                </c:pt>
                <c:pt idx="10">
                  <c:v>-583837.30516100023</c:v>
                </c:pt>
                <c:pt idx="11">
                  <c:v>-492534.05771000008</c:v>
                </c:pt>
                <c:pt idx="12">
                  <c:v>-280479.61593499966</c:v>
                </c:pt>
                <c:pt idx="13">
                  <c:v>-236443.89212900028</c:v>
                </c:pt>
                <c:pt idx="14">
                  <c:v>-222529.06605000002</c:v>
                </c:pt>
                <c:pt idx="15">
                  <c:v>-143240.815955</c:v>
                </c:pt>
                <c:pt idx="16">
                  <c:v>-36672.662924999982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6E-46FA-B49E-D1CD18DF89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56326656"/>
        <c:axId val="2058282704"/>
      </c:barChart>
      <c:catAx>
        <c:axId val="205632665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8282704"/>
        <c:crosses val="autoZero"/>
        <c:auto val="1"/>
        <c:lblAlgn val="ctr"/>
        <c:lblOffset val="100"/>
        <c:noMultiLvlLbl val="0"/>
      </c:catAx>
      <c:valAx>
        <c:axId val="2058282704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0.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6326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[AdventureWorks_Sales_Analysis.xlsx]QuarterlyPivot!PivotTable1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Quarterly Actual Sales vs Sales Quota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QuarterlyPivot!$C$3</c:f>
              <c:strCache>
                <c:ptCount val="1"/>
                <c:pt idx="0">
                  <c:v>Sum of ActualSales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QuarterlyPivot!$A$4:$B$15</c:f>
              <c:multiLvlStrCache>
                <c:ptCount val="11"/>
                <c:lvl>
                  <c:pt idx="0">
                    <c:v>3</c:v>
                  </c:pt>
                  <c:pt idx="1">
                    <c:v>4</c:v>
                  </c:pt>
                  <c:pt idx="2">
                    <c:v>1</c:v>
                  </c:pt>
                  <c:pt idx="3">
                    <c:v>2</c:v>
                  </c:pt>
                  <c:pt idx="4">
                    <c:v>3</c:v>
                  </c:pt>
                  <c:pt idx="5">
                    <c:v>4</c:v>
                  </c:pt>
                  <c:pt idx="6">
                    <c:v>1</c:v>
                  </c:pt>
                  <c:pt idx="7">
                    <c:v>2</c:v>
                  </c:pt>
                  <c:pt idx="8">
                    <c:v>3</c:v>
                  </c:pt>
                  <c:pt idx="9">
                    <c:v>4</c:v>
                  </c:pt>
                  <c:pt idx="10">
                    <c:v>1</c:v>
                  </c:pt>
                </c:lvl>
                <c:lvl>
                  <c:pt idx="0">
                    <c:v>2011</c:v>
                  </c:pt>
                  <c:pt idx="2">
                    <c:v>2012</c:v>
                  </c:pt>
                  <c:pt idx="6">
                    <c:v>2013</c:v>
                  </c:pt>
                  <c:pt idx="10">
                    <c:v>2014</c:v>
                  </c:pt>
                </c:lvl>
              </c:multiLvlStrCache>
            </c:multiLvlStrRef>
          </c:cat>
          <c:val>
            <c:numRef>
              <c:f>QuarterlyPivot!$C$4:$C$15</c:f>
              <c:numCache>
                <c:formatCode>[$$-409]#,##0.00</c:formatCode>
                <c:ptCount val="11"/>
                <c:pt idx="0">
                  <c:v>3549026.3861839995</c:v>
                </c:pt>
                <c:pt idx="1">
                  <c:v>4740197.03467</c:v>
                </c:pt>
                <c:pt idx="2">
                  <c:v>6508085.9979660008</c:v>
                </c:pt>
                <c:pt idx="3">
                  <c:v>6996684.003020999</c:v>
                </c:pt>
                <c:pt idx="4">
                  <c:v>7741329.7370809997</c:v>
                </c:pt>
                <c:pt idx="5">
                  <c:v>5887601.6390660005</c:v>
                </c:pt>
                <c:pt idx="6">
                  <c:v>6309986.1953189997</c:v>
                </c:pt>
                <c:pt idx="7">
                  <c:v>8876224.1846740004</c:v>
                </c:pt>
                <c:pt idx="8">
                  <c:v>9820157.7006520014</c:v>
                </c:pt>
                <c:pt idx="9">
                  <c:v>7883983.6409900002</c:v>
                </c:pt>
                <c:pt idx="10">
                  <c:v>8268335.2185269995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8F-4AA0-B2C6-775E2A4E90F8}"/>
            </c:ext>
          </c:extLst>
        </c:ser>
        <c:ser>
          <c:idx val="1"/>
          <c:order val="1"/>
          <c:tx>
            <c:strRef>
              <c:f>QuarterlyPivot!$D$3</c:f>
              <c:strCache>
                <c:ptCount val="1"/>
                <c:pt idx="0">
                  <c:v>Sum of SalesQuota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QuarterlyPivot!$A$4:$B$15</c:f>
              <c:multiLvlStrCache>
                <c:ptCount val="11"/>
                <c:lvl>
                  <c:pt idx="0">
                    <c:v>3</c:v>
                  </c:pt>
                  <c:pt idx="1">
                    <c:v>4</c:v>
                  </c:pt>
                  <c:pt idx="2">
                    <c:v>1</c:v>
                  </c:pt>
                  <c:pt idx="3">
                    <c:v>2</c:v>
                  </c:pt>
                  <c:pt idx="4">
                    <c:v>3</c:v>
                  </c:pt>
                  <c:pt idx="5">
                    <c:v>4</c:v>
                  </c:pt>
                  <c:pt idx="6">
                    <c:v>1</c:v>
                  </c:pt>
                  <c:pt idx="7">
                    <c:v>2</c:v>
                  </c:pt>
                  <c:pt idx="8">
                    <c:v>3</c:v>
                  </c:pt>
                  <c:pt idx="9">
                    <c:v>4</c:v>
                  </c:pt>
                  <c:pt idx="10">
                    <c:v>1</c:v>
                  </c:pt>
                </c:lvl>
                <c:lvl>
                  <c:pt idx="0">
                    <c:v>2011</c:v>
                  </c:pt>
                  <c:pt idx="2">
                    <c:v>2012</c:v>
                  </c:pt>
                  <c:pt idx="6">
                    <c:v>2013</c:v>
                  </c:pt>
                  <c:pt idx="10">
                    <c:v>2014</c:v>
                  </c:pt>
                </c:lvl>
              </c:multiLvlStrCache>
            </c:multiLvlStrRef>
          </c:cat>
          <c:val>
            <c:numRef>
              <c:f>QuarterlyPivot!$D$4:$D$15</c:f>
              <c:numCache>
                <c:formatCode>[$$-409]#,##0.00</c:formatCode>
                <c:ptCount val="11"/>
                <c:pt idx="0">
                  <c:v>5627000</c:v>
                </c:pt>
                <c:pt idx="1">
                  <c:v>4750000</c:v>
                </c:pt>
                <c:pt idx="2">
                  <c:v>5068000</c:v>
                </c:pt>
                <c:pt idx="3">
                  <c:v>10537000</c:v>
                </c:pt>
                <c:pt idx="4">
                  <c:v>8654000</c:v>
                </c:pt>
                <c:pt idx="5">
                  <c:v>5913000</c:v>
                </c:pt>
                <c:pt idx="6">
                  <c:v>8039000</c:v>
                </c:pt>
                <c:pt idx="7">
                  <c:v>13733000</c:v>
                </c:pt>
                <c:pt idx="8">
                  <c:v>11097000</c:v>
                </c:pt>
                <c:pt idx="9">
                  <c:v>8051000</c:v>
                </c:pt>
                <c:pt idx="10">
                  <c:v>10359000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8F-4AA0-B2C6-775E2A4E90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2677600"/>
        <c:axId val="1746742832"/>
      </c:barChart>
      <c:catAx>
        <c:axId val="1892677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6742832"/>
        <c:crosses val="autoZero"/>
        <c:auto val="1"/>
        <c:lblAlgn val="ctr"/>
        <c:lblOffset val="100"/>
        <c:noMultiLvlLbl val="0"/>
      </c:catAx>
      <c:valAx>
        <c:axId val="1746742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0.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677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91440</xdr:colOff>
      <xdr:row>8</xdr:row>
      <xdr:rowOff>26670</xdr:rowOff>
    </xdr:from>
    <xdr:to>
      <xdr:col>6</xdr:col>
      <xdr:colOff>220980</xdr:colOff>
      <xdr:row>23</xdr:row>
      <xdr:rowOff>26670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C1D056-33CB-1E37-FBEA-2053FDA292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</xdr:colOff>
      <xdr:row>6</xdr:row>
      <xdr:rowOff>7620</xdr:rowOff>
    </xdr:from>
    <xdr:to>
      <xdr:col>3</xdr:col>
      <xdr:colOff>883920</xdr:colOff>
      <xdr:row>18</xdr:row>
      <xdr:rowOff>68580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F9DD76E-E2D9-47F1-B068-0BD46CE03E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15240</xdr:colOff>
      <xdr:row>18</xdr:row>
      <xdr:rowOff>83820</xdr:rowOff>
    </xdr:from>
    <xdr:to>
      <xdr:col>6</xdr:col>
      <xdr:colOff>7620</xdr:colOff>
      <xdr:row>30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234CB7E-C0B2-4F18-9BCD-D9CD4AD157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891540</xdr:colOff>
      <xdr:row>6</xdr:row>
      <xdr:rowOff>0</xdr:rowOff>
    </xdr:from>
    <xdr:to>
      <xdr:col>6</xdr:col>
      <xdr:colOff>0</xdr:colOff>
      <xdr:row>18</xdr:row>
      <xdr:rowOff>68580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7F8FCF4-0F95-4890-939E-AC973336C0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1546860</xdr:colOff>
      <xdr:row>2</xdr:row>
      <xdr:rowOff>49530</xdr:rowOff>
    </xdr:from>
    <xdr:to>
      <xdr:col>9</xdr:col>
      <xdr:colOff>525780</xdr:colOff>
      <xdr:row>17</xdr:row>
      <xdr:rowOff>49530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9238E8-8EEB-C6FA-9C8A-FA9165A203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15240</xdr:colOff>
      <xdr:row>2</xdr:row>
      <xdr:rowOff>15240</xdr:rowOff>
    </xdr:from>
    <xdr:to>
      <xdr:col>14</xdr:col>
      <xdr:colOff>320040</xdr:colOff>
      <xdr:row>17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54707D-9C1E-4478-502D-4A87CFAB22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urav Dev" refreshedDate="46308.604823148147" createdVersion="8" refreshedVersion="8" minRefreshableVersion="3" recordCount="179" xr:uid="{EF92854F-60EF-4FBD-A2CE-4CF4D534520E}">
  <cacheSource type="worksheet">
    <worksheetSource name="tblQuarterlyPerformance"/>
  </cacheSource>
  <cacheFields count="15">
    <cacheField name="SalesPersonID" numFmtId="0">
      <sharedItems containsSemiMixedTypes="0" containsString="0" containsNumber="1" containsInteger="1" minValue="274" maxValue="290"/>
    </cacheField>
    <cacheField name="SalespersonName" numFmtId="0">
      <sharedItems/>
    </cacheField>
    <cacheField name="AssignedTerritory" numFmtId="0">
      <sharedItems/>
    </cacheField>
    <cacheField name="SalesYear" numFmtId="0">
      <sharedItems containsSemiMixedTypes="0" containsString="0" containsNumber="1" containsInteger="1" minValue="2011" maxValue="2014" count="4">
        <n v="2011"/>
        <n v="2012"/>
        <n v="2013"/>
        <n v="2014"/>
      </sharedItems>
    </cacheField>
    <cacheField name="SalesQuarter" numFmtId="0">
      <sharedItems containsSemiMixedTypes="0" containsString="0" containsNumber="1" containsInteger="1" minValue="1" maxValue="4" count="4">
        <n v="2"/>
        <n v="3"/>
        <n v="4"/>
        <n v="1"/>
      </sharedItems>
    </cacheField>
    <cacheField name="QuotaDate" numFmtId="0">
      <sharedItems/>
    </cacheField>
    <cacheField name="ActualSales" numFmtId="0">
      <sharedItems containsSemiMixedTypes="0" containsString="0" containsNumber="1" minValue="0" maxValue="1230961.5550599999"/>
    </cacheField>
    <cacheField name="SalesQuota" numFmtId="0">
      <sharedItems containsMixedTypes="1" containsNumber="1" containsInteger="1" minValue="1000" maxValue="1898000" count="155">
        <n v="226000"/>
        <n v="244000"/>
        <n v="565000"/>
        <n v="525000"/>
        <n v="637000"/>
        <n v="367000"/>
        <n v="165000"/>
        <n v="460000"/>
        <n v="28000"/>
        <n v="669000"/>
        <n v="353000"/>
        <n v="356000"/>
        <n v="872000"/>
        <n v="767000"/>
        <n v="781000"/>
        <n v="556000"/>
        <n v="469000"/>
        <n v="549000"/>
        <n v="7000"/>
        <n v="917000"/>
        <n v="280000"/>
        <n v="266000"/>
        <n v="846000"/>
        <n v="583000"/>
        <n v="665000"/>
        <n v="502000"/>
        <n v="264000"/>
        <n v="473000"/>
        <n v="91000"/>
        <n v="780000"/>
        <n v="267000"/>
        <n v="341000"/>
        <n v="952000"/>
        <n v="639000"/>
        <n v="550000"/>
        <n v="301000"/>
        <n v="493000"/>
        <n v="140000"/>
        <n v="802000"/>
        <n v="93000"/>
        <n v="483000"/>
        <n v="542000"/>
        <n v="1898000"/>
        <n v="1600000"/>
        <n v="496000"/>
        <n v="1355000"/>
        <n v="1429000"/>
        <n v="210000"/>
        <n v="593000"/>
        <n v="1034000"/>
        <n v="70000"/>
        <n v="734000"/>
        <n v="15000"/>
        <n v="329000"/>
        <n v="1262000"/>
        <n v="1352000"/>
        <n v="452000"/>
        <n v="1009000"/>
        <n v="1324000"/>
        <n v="409000"/>
        <n v="813000"/>
        <n v="154000"/>
        <n v="321000"/>
        <n v="647000"/>
        <n v="33000"/>
        <n v="151000"/>
        <n v="239000"/>
        <n v="938000"/>
        <n v="839000"/>
        <n v="288000"/>
        <n v="860000"/>
        <n v="729000"/>
        <n v="190000"/>
        <n v="217000"/>
        <n v="470000"/>
        <n v="107000"/>
        <n v="281000"/>
        <n v="571000"/>
        <n v="110000"/>
        <n v="284000"/>
        <n v="418000"/>
        <n v="1279000"/>
        <n v="1369000"/>
        <n v="247000"/>
        <n v="1021000"/>
        <n v="1194000"/>
        <n v="224000"/>
        <n v="404000"/>
        <n v="555000"/>
        <n v="58000"/>
        <n v="304000"/>
        <n v="572000"/>
        <n v="184000"/>
        <n v="631000"/>
        <n v="507000"/>
        <n v="1506000"/>
        <n v="1171000"/>
        <n v="1051000"/>
        <n v="1525000"/>
        <n v="478000"/>
        <n v="1575000"/>
        <n v="319000"/>
        <n v="728000"/>
        <n v="935000"/>
        <n v="263000"/>
        <n v="132000"/>
        <n v="516000"/>
        <n v="950000"/>
        <n v="324000"/>
        <n v="372000"/>
        <n v="453000"/>
        <n v="1419000"/>
        <n v="971000"/>
        <n v="707000"/>
        <n v="1276000"/>
        <n v="389000"/>
        <n v="1218000"/>
        <n v="450000"/>
        <n v="566000"/>
        <n v="1057000"/>
        <n v="684000"/>
        <n v="116000"/>
        <n v="40000"/>
        <n v="380000"/>
        <n v="675000"/>
        <n v="234000"/>
        <n v="883000"/>
        <n v="714000"/>
        <n v="569000"/>
        <n v="894000"/>
        <n v="399000"/>
        <n v="849000"/>
        <n v="343000"/>
        <n v="366000"/>
        <n v="614000"/>
        <n v="84000"/>
        <n v="454000"/>
        <n v="538000"/>
        <n v="1000"/>
        <n v="403000"/>
        <n v="390000"/>
        <n v="1329000"/>
        <n v="947000"/>
        <n v="830000"/>
        <n v="1124000"/>
        <n v="421000"/>
        <n v="869000"/>
        <n v="627000"/>
        <n v="908000"/>
        <n v="724000"/>
        <n v="187000"/>
        <n v="26000"/>
        <n v="497000"/>
        <n v="686000"/>
        <s v="NULL"/>
      </sharedItems>
    </cacheField>
    <cacheField name="PreviousQuota" numFmtId="0">
      <sharedItems containsMixedTypes="1" containsNumber="1" containsInteger="1" minValue="7000" maxValue="1898000"/>
    </cacheField>
    <cacheField name="QuotaVariance" numFmtId="0">
      <sharedItems containsMixedTypes="1" containsNumber="1" minValue="-934654.892077" maxValue="352013.82760999998"/>
    </cacheField>
    <cacheField name="AttainmentPct" numFmtId="0">
      <sharedItems containsMixedTypes="1" containsNumber="1" minValue="0" maxValue="5663.7747799999997"/>
    </cacheField>
    <cacheField name="OrderCount" numFmtId="0">
      <sharedItems containsSemiMixedTypes="0" containsString="0" containsNumber="1" containsInteger="1" minValue="0" maxValue="50"/>
    </cacheField>
    <cacheField name="PeriodStatus" numFmtId="0">
      <sharedItems/>
    </cacheField>
    <cacheField name="IsComparablePeriod" numFmtId="0">
      <sharedItems containsSemiMixedTypes="0" containsString="0" containsNumber="1" containsInteger="1" minValue="0" maxValue="1" count="2">
        <n v="0"/>
        <n v="1"/>
      </sharedItems>
    </cacheField>
    <cacheField name="QuotaQualityFlag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urav Dev" refreshedDate="46308.625700925928" createdVersion="8" refreshedVersion="8" minRefreshableVersion="3" recordCount="17" xr:uid="{E57A8BAD-97B1-4EA8-AA8D-C652B47E480E}">
  <cacheSource type="worksheet">
    <worksheetSource name="tblExcelAnalysis"/>
  </cacheSource>
  <cacheFields count="11">
    <cacheField name="SalesPersonID" numFmtId="0">
      <sharedItems containsSemiMixedTypes="0" containsString="0" containsNumber="1" containsInteger="1" minValue="274" maxValue="290"/>
    </cacheField>
    <cacheField name="SalespersonName" numFmtId="0">
      <sharedItems count="17">
        <s v="Jae Pak"/>
        <s v="Jillian Carson"/>
        <s v="Michael Blythe"/>
        <s v="Shu Ito"/>
        <s v="José Saraiva"/>
        <s v="Ranjit Varkey Chudukatil"/>
        <s v="Linda Mitchell"/>
        <s v="Tsvi Reiter"/>
        <s v="Garrett Vargas"/>
        <s v="Rachel Valdez"/>
        <s v="Tete Mensa-Annan"/>
        <s v="Lynn Tsoflias"/>
        <s v="David Campbell"/>
        <s v="Pamela Ansman-Wolfe"/>
        <s v="Stephen Jiang"/>
        <s v="Amy Alberts"/>
        <s v="Syed Abbas"/>
      </sharedItems>
    </cacheField>
    <cacheField name="AssignedTerritory" numFmtId="0">
      <sharedItems/>
    </cacheField>
    <cacheField name="RecalculatedActualSales" numFmtId="0">
      <sharedItems containsSemiMixedTypes="0" containsString="0" containsNumber="1" minValue="168327.33707500002" maxValue="10078820.433138998"/>
    </cacheField>
    <cacheField name="RecalculatedQuota" numFmtId="0">
      <sharedItems containsSemiMixedTypes="0" containsString="0" containsNumber="1" containsInteger="1" minValue="205000" maxValue="11633000"/>
    </cacheField>
    <cacheField name="ComparableQuarters" numFmtId="0">
      <sharedItems containsSemiMixedTypes="0" containsString="0" containsNumber="1" containsInteger="1" minValue="4" maxValue="11"/>
    </cacheField>
    <cacheField name="BelowQuotaQuarters" numFmtId="0">
      <sharedItems containsSemiMixedTypes="0" containsString="0" containsNumber="1" containsInteger="1" minValue="2" maxValue="10"/>
    </cacheField>
    <cacheField name="MetOrExceededQuarters" numFmtId="0">
      <sharedItems containsSemiMixedTypes="0" containsString="0" containsNumber="1" containsInteger="1" minValue="0" maxValue="5"/>
    </cacheField>
    <cacheField name="NetVariance" numFmtId="0">
      <sharedItems containsSemiMixedTypes="0" containsString="0" containsNumber="1" minValue="-2450445.4071649993" maxValue="-36672.662924999982"/>
    </cacheField>
    <cacheField name="BelowQuotaRatePct" numFmtId="10">
      <sharedItems containsSemiMixedTypes="0" containsString="0" containsNumber="1" minValue="0.5" maxValue="1"/>
    </cacheField>
    <cacheField name="WeightedAttainmentPct" numFmtId="10">
      <sharedItems containsSemiMixedTypes="0" containsString="0" containsNumber="1" minValue="0.70804145956727915" maxValue="0.9301701440847607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urav Dev" refreshedDate="46308.88812152778" createdVersion="8" refreshedVersion="8" minRefreshableVersion="3" recordCount="693" xr:uid="{F1B7862D-934B-4C76-A7FC-54EB05980117}">
  <cacheSource type="worksheet">
    <worksheetSource name="tblCategorySales"/>
  </cacheSource>
  <cacheFields count="13">
    <cacheField name="SalesPersonID" numFmtId="0">
      <sharedItems containsSemiMixedTypes="0" containsString="0" containsNumber="1" containsInteger="1" minValue="274" maxValue="290"/>
    </cacheField>
    <cacheField name="SalespersonName" numFmtId="0">
      <sharedItems/>
    </cacheField>
    <cacheField name="AssignedTerritory" numFmtId="0">
      <sharedItems/>
    </cacheField>
    <cacheField name="SalesYear" numFmtId="0">
      <sharedItems containsSemiMixedTypes="0" containsString="0" containsNumber="1" containsInteger="1" minValue="2011" maxValue="2014"/>
    </cacheField>
    <cacheField name="SalesQuarter" numFmtId="0">
      <sharedItems containsSemiMixedTypes="0" containsString="0" containsNumber="1" containsInteger="1" minValue="1" maxValue="4"/>
    </cacheField>
    <cacheField name="ProductCategoryID" numFmtId="0">
      <sharedItems containsSemiMixedTypes="0" containsString="0" containsNumber="1" containsInteger="1" minValue="1" maxValue="4"/>
    </cacheField>
    <cacheField name="CategoryName" numFmtId="0">
      <sharedItems count="4">
        <s v="Accessories"/>
        <s v="Bikes"/>
        <s v="Clothing"/>
        <s v="Components"/>
      </sharedItems>
    </cacheField>
    <cacheField name="OrdersContainingCategory" numFmtId="0">
      <sharedItems containsSemiMixedTypes="0" containsString="0" containsNumber="1" containsInteger="1" minValue="1" maxValue="42"/>
    </cacheField>
    <cacheField name="UnitsSold" numFmtId="0">
      <sharedItems containsSemiMixedTypes="0" containsString="0" containsNumber="1" containsInteger="1" minValue="1" maxValue="1377"/>
    </cacheField>
    <cacheField name="CategorySales" numFmtId="0">
      <sharedItems containsSemiMixedTypes="0" containsString="0" containsNumber="1" minValue="40.372999999999998" maxValue="1100220.659" count="685">
        <n v="222.0515"/>
        <n v="67526.229200000002"/>
        <n v="296.21530000000001"/>
        <n v="1428.5002999999999"/>
        <n v="60.5595"/>
        <n v="8510.5979000000007"/>
        <n v="170.1345"/>
        <n v="367.87639999999999"/>
        <n v="121.119"/>
        <n v="43198.299400000004"/>
        <n v="113.99420000000001"/>
        <n v="3262.1437999999998"/>
        <n v="242.238"/>
        <n v="90730.394199999995"/>
        <n v="565.97879999999998"/>
        <n v="14713.1167"/>
        <n v="5119.0505000000003"/>
        <n v="356.89800000000002"/>
        <n v="61943.293400000002"/>
        <n v="326.08269999999999"/>
        <n v="1271.4952000000001"/>
        <n v="24374.928"/>
        <n v="57.680799999999998"/>
        <n v="504.66250000000002"/>
        <n v="52868.400699999998"/>
        <n v="725.56719999999996"/>
        <n v="5609.6904000000004"/>
        <n v="322.98399999999998"/>
        <n v="98960.6054"/>
        <n v="619.50009999999997"/>
        <n v="4516.2395999999999"/>
        <n v="363.35700000000003"/>
        <n v="225021.65330000001"/>
        <n v="663.90475000000004"/>
        <n v="14674.1415"/>
        <n v="524.84900000000005"/>
        <n v="217712.40628"/>
        <n v="925.44682"/>
        <n v="14532.9643"/>
        <n v="1574.547"/>
        <n v="461174.316024"/>
        <n v="3676.7420499999998"/>
        <n v="35325.174500000001"/>
        <n v="1756.2255"/>
        <n v="466795.55531999998"/>
        <n v="2289.3473640000002"/>
        <n v="50952.411399999997"/>
        <n v="1049.6980000000001"/>
        <n v="416594.34539999999"/>
        <n v="1778.0253"/>
        <n v="40117.288"/>
        <n v="585.4085"/>
        <n v="323941.03600000002"/>
        <n v="1462.2031999999999"/>
        <n v="22818.657599999999"/>
        <n v="545.03549999999996"/>
        <n v="203167.5111"/>
        <n v="886.07050000000004"/>
        <n v="20037.003799999999"/>
        <n v="1271.7494999999999"/>
        <n v="375576.21537599998"/>
        <n v="1683.2881"/>
        <n v="37631.919600000001"/>
        <n v="22379.934000000001"/>
        <n v="144.202"/>
        <n v="533281.48380000005"/>
        <n v="2251.4247"/>
        <n v="42750.586600000002"/>
        <n v="282.61099999999999"/>
        <n v="272551.42940000002"/>
        <n v="686.44320000000005"/>
        <n v="16271.4079"/>
        <n v="686.34100000000001"/>
        <n v="241679.86429999999"/>
        <n v="748.8143"/>
        <n v="14171.965899999999"/>
        <n v="2200.3285000000001"/>
        <n v="704088.39650000003"/>
        <n v="3910.889772"/>
        <n v="52981.341099999998"/>
        <n v="2079.2094999999999"/>
        <n v="497281.43683999998"/>
        <n v="3544.5324000000001"/>
        <n v="44057.029300000002"/>
        <n v="1513.9875"/>
        <n v="623808.35049999994"/>
        <n v="2131.7997999999998"/>
        <n v="57245.882299999997"/>
        <n v="666.15449999999998"/>
        <n v="431156.20030000003"/>
        <n v="1430.8642400000001"/>
        <n v="30000.384699999999"/>
        <n v="767.08699999999999"/>
        <n v="381320.35230000003"/>
        <n v="854.48950000000002"/>
        <n v="16475.4277"/>
        <n v="1320.614108"/>
        <n v="450970.68329199997"/>
        <n v="1838.22515"/>
        <n v="37596.273999999998"/>
        <n v="6341.5510000000004"/>
        <n v="827.64649999999995"/>
        <n v="774452.19086800003"/>
        <n v="2249.6086"/>
        <n v="60007.219899999996"/>
        <n v="444.10300000000001"/>
        <n v="376004.32909999997"/>
        <n v="976.04939999999999"/>
        <n v="20109.230599999999"/>
        <n v="894.57126400000004"/>
        <n v="377547.9877"/>
        <n v="2016.6053280000001"/>
        <n v="30058.4542"/>
        <n v="1100220.659"/>
        <n v="5074.4296999999997"/>
        <n v="54423.914799999999"/>
        <n v="734488.48337999999"/>
        <n v="3142.0038920000002"/>
        <n v="56655.598700000002"/>
        <n v="1836.9715000000001"/>
        <n v="938838.31406"/>
        <n v="3356.53395"/>
        <n v="46982.008099999999"/>
        <n v="559493.86010000005"/>
        <n v="1904.8384000000001"/>
        <n v="37863.6967"/>
        <n v="490730.28759999998"/>
        <n v="1748.1198999999999"/>
        <n v="25753.613799999999"/>
        <n v="1413.0550000000001"/>
        <n v="476661.5992"/>
        <n v="1923.8707999999999"/>
        <n v="31480.8207"/>
        <n v="109965.5882"/>
        <n v="88.632499999999993"/>
        <n v="2866.7078000000001"/>
        <n v="1937.904"/>
        <n v="922937.40619200002"/>
        <n v="2956.8917999999999"/>
        <n v="80100.927100000001"/>
        <n v="497.53149999999999"/>
        <n v="52317.263899999998"/>
        <n v="3973.6392879999999"/>
        <n v="16944.033800000001"/>
        <n v="1373.6020619999999"/>
        <n v="279060.70958099997"/>
        <n v="8037.4213829999999"/>
        <n v="75384.415997999997"/>
        <n v="3055.0432540000002"/>
        <n v="266464.36854200001"/>
        <n v="15590.176675999999"/>
        <n v="67477.471300000005"/>
        <n v="4146.619976"/>
        <n v="724605.75596700003"/>
        <n v="25249.722532"/>
        <n v="209343.009448"/>
        <n v="3428.559636"/>
        <n v="848200.757492"/>
        <n v="13872.891787"/>
        <n v="204011.66409999999"/>
        <n v="1932.35058"/>
        <n v="233472.34510800001"/>
        <n v="8017.5478519999997"/>
        <n v="63956.6351"/>
        <n v="4715.9169300000003"/>
        <n v="688131.51852599997"/>
        <n v="25260.141232000002"/>
        <n v="160523.611"/>
        <n v="3556.71009"/>
        <n v="749630.87020100001"/>
        <n v="22887.146445999999"/>
        <n v="211428.0344"/>
        <n v="2192.6199080000001"/>
        <n v="298494.96895200002"/>
        <n v="11961.906143"/>
        <n v="77374.087975999995"/>
        <n v="2613.9066579999999"/>
        <n v="263761.32300099998"/>
        <n v="14861.118097"/>
        <n v="79009.471353999994"/>
        <n v="2172.5843799999998"/>
        <n v="404191.76397500001"/>
        <n v="9885.5051939999994"/>
        <n v="117382.4906"/>
        <n v="821.54700000000003"/>
        <n v="69018.270124999995"/>
        <n v="4463.3843749999996"/>
        <n v="29559.803"/>
        <n v="2802.5436300000001"/>
        <n v="453617.833889"/>
        <n v="19451.789677000001"/>
        <n v="136499.59940000001"/>
        <n v="40.372999999999998"/>
        <n v="11921.5561"/>
        <n v="294.21179999999998"/>
        <n v="391.99169999999998"/>
        <n v="1103.5985000000001"/>
        <n v="260710.54942"/>
        <n v="6039.0116159999998"/>
        <n v="43354.502399999998"/>
        <n v="2565.3375000000001"/>
        <n v="243961.640124"/>
        <n v="16110.503064"/>
        <n v="54180.5867"/>
        <n v="6416.6703079999997"/>
        <n v="875241.47354000004"/>
        <n v="35493.513425999998"/>
        <n v="233811.62697400001"/>
        <n v="4157.2115919999997"/>
        <n v="933475.17200599995"/>
        <n v="23576.336394999998"/>
        <n v="195507.91829999999"/>
        <n v="1954.8495"/>
        <n v="326736.00907999999"/>
        <n v="11086.008694"/>
        <n v="68637.943157000002"/>
        <n v="5992.7440989999996"/>
        <n v="840434.42830599996"/>
        <n v="34384.037607999999"/>
        <n v="206699.74152400001"/>
        <n v="5390.8787439999996"/>
        <n v="910106.51570700004"/>
        <n v="30477.852884"/>
        <n v="196990.18115799999"/>
        <n v="1146.506936"/>
        <n v="133842.2562"/>
        <n v="6002.4522200000001"/>
        <n v="39404.666599999997"/>
        <n v="2429.9567000000002"/>
        <n v="310583.02095799998"/>
        <n v="12012.177067000001"/>
        <n v="75067.135200000004"/>
        <n v="2392.2905919999998"/>
        <n v="581026.53089399997"/>
        <n v="13543.834273"/>
        <n v="127397.215"/>
        <n v="48281.354399999997"/>
        <n v="897.37199999999996"/>
        <n v="10225.290000000001"/>
        <n v="1357.5944999999999"/>
        <n v="181728.6594"/>
        <n v="6454.8400760000004"/>
        <n v="32247.2847"/>
        <n v="2083.9549999999999"/>
        <n v="459021.76459999999"/>
        <n v="16273.576838999999"/>
        <n v="90624.654999999999"/>
        <n v="23839.251100000001"/>
        <n v="583.97040000000004"/>
        <n v="5225.8293999999996"/>
        <n v="369.60500000000002"/>
        <n v="192561.2904"/>
        <n v="3997.1255169999999"/>
        <n v="18543.179499999998"/>
        <n v="1560.521"/>
        <n v="171175.89324800001"/>
        <n v="8763.1038499999995"/>
        <n v="22147.365600000001"/>
        <n v="4083.8098719999998"/>
        <n v="751212.44472499995"/>
        <n v="23158.348556000001"/>
        <n v="121515.051596"/>
        <n v="3426.904"/>
        <n v="792876.93559200002"/>
        <n v="22822.906804999999"/>
        <n v="110151.1035"/>
        <n v="838.72749999999996"/>
        <n v="277415.25799999997"/>
        <n v="6516.4097250000004"/>
        <n v="39291.152999999998"/>
        <n v="3210.4496469999999"/>
        <n v="758109.58702700003"/>
        <n v="23055.462313"/>
        <n v="93377.208100000003"/>
        <n v="1738.041356"/>
        <n v="562019.360506"/>
        <n v="10463.302044"/>
        <n v="70738.518800000005"/>
        <n v="430.96"/>
        <n v="96591.320452"/>
        <n v="3483.0129999999999"/>
        <n v="18340.516599999999"/>
        <n v="1088.8344999999999"/>
        <n v="192371.88397600001"/>
        <n v="7172.8331239999998"/>
        <n v="35320.247300000003"/>
        <n v="1001.045"/>
        <n v="454513.06436000002"/>
        <n v="9048.2973999999995"/>
        <n v="60176.583100000003"/>
        <n v="618.65049999999997"/>
        <n v="156772.77398299999"/>
        <n v="3325.4281999999998"/>
        <n v="16579.3482"/>
        <n v="889.47349999999994"/>
        <n v="193423.4681"/>
        <n v="4947.3329999999996"/>
        <n v="20590.942800000001"/>
        <n v="1086.3879999999999"/>
        <n v="437106.17139999999"/>
        <n v="8904.077792"/>
        <n v="39030.867100000003"/>
        <n v="346.97199999999998"/>
        <n v="40332.193500000001"/>
        <n v="845.71969999999999"/>
        <n v="3933.4580999999998"/>
        <n v="872.29300000000001"/>
        <n v="213986.94589199999"/>
        <n v="7039.8048570000001"/>
        <n v="44174.101631999998"/>
        <n v="1931.7484360000001"/>
        <n v="242724.76115899999"/>
        <n v="12755.886956"/>
        <n v="33920.759299999998"/>
        <n v="3853.0813899999998"/>
        <n v="836829.35211800004"/>
        <n v="24248.448339999999"/>
        <n v="144496.40850799999"/>
        <n v="4126.1311240000005"/>
        <n v="808128.18895099999"/>
        <n v="23030.637127999998"/>
        <n v="135100.4381"/>
        <n v="1420.0817959999999"/>
        <n v="187470.526992"/>
        <n v="8090.2012160000004"/>
        <n v="35010.119400000003"/>
        <n v="4694.527384"/>
        <n v="704448.54597600002"/>
        <n v="24442.228556999999"/>
        <n v="134267.7236"/>
        <n v="3054.5532750000002"/>
        <n v="805276.551951"/>
        <n v="14932.855001"/>
        <n v="128591.7896"/>
        <n v="585.85050000000001"/>
        <n v="58887.503076000001"/>
        <n v="3535.9019239999998"/>
        <n v="20570.4938"/>
        <n v="1576.2004360000001"/>
        <n v="234646.48439999999"/>
        <n v="10478.115143999999"/>
        <n v="58223.824399999998"/>
        <n v="878.30499999999995"/>
        <n v="402663.47492399998"/>
        <n v="6432.9887120000003"/>
        <n v="58632.094299999997"/>
        <n v="558.29127500000004"/>
        <n v="39434.605174999997"/>
        <n v="2841.0311000000002"/>
        <n v="5675.5847999999996"/>
        <n v="1390.6860919999999"/>
        <n v="213878.47"/>
        <n v="7844.1528120000003"/>
        <n v="35750.985699999997"/>
        <n v="2068.1351079999999"/>
        <n v="427855.21980800002"/>
        <n v="15855.921893999999"/>
        <n v="65344.84"/>
        <n v="3108.0811399999998"/>
        <n v="124509.68769399999"/>
        <n v="4985.832735"/>
        <n v="28600.051299999999"/>
        <n v="1856.7514590000001"/>
        <n v="257611.05238400001"/>
        <n v="7241.1743930000002"/>
        <n v="91620.008023999995"/>
        <n v="6871.6567169999998"/>
        <n v="273050.87376599998"/>
        <n v="16440.876650999999"/>
        <n v="71369.056500000006"/>
        <n v="10799.947574"/>
        <n v="815615.86357100005"/>
        <n v="36068.739007999997"/>
        <n v="265462.223589"/>
        <n v="10856.379664"/>
        <n v="632209.79567300004"/>
        <n v="32424.133499"/>
        <n v="208794.997428"/>
        <n v="6498.615984"/>
        <n v="310324.46956699999"/>
        <n v="15592.876844"/>
        <n v="91910.026035999996"/>
        <n v="12394.39077"/>
        <n v="951829.71338800003"/>
        <n v="37692.689790999997"/>
        <n v="229044.761111"/>
        <n v="2012.394"/>
        <n v="143783.93489400001"/>
        <n v="3379.4197920000001"/>
        <n v="34929.947328000002"/>
        <n v="7247.5279280000004"/>
        <n v="785601.58149999997"/>
        <n v="24462.127081999999"/>
        <n v="208367.56332799999"/>
        <n v="1992.3826079999999"/>
        <n v="148613.06015"/>
        <n v="8242.6957170000005"/>
        <n v="46109.626872000001"/>
        <n v="7251.489998"/>
        <n v="261918.167793"/>
        <n v="15751.347785"/>
        <n v="87052.191099999996"/>
        <n v="9152.4654069999997"/>
        <n v="588408.70173700002"/>
        <n v="22564.028642000001"/>
        <n v="209270.61960400001"/>
        <n v="7798.4041999999999"/>
        <n v="526737.16460100003"/>
        <n v="20725.590672999999"/>
        <n v="166249.19407500001"/>
        <n v="1189.2239999999999"/>
        <n v="110628.005726"/>
        <n v="2553.2360159999998"/>
        <n v="16522.11"/>
        <n v="1080.80205"/>
        <n v="196333.72578000001"/>
        <n v="4381.5015009999997"/>
        <n v="56699.612099999998"/>
        <n v="6076.8209999999999"/>
        <n v="447712.36545099999"/>
        <n v="21817.831976000001"/>
        <n v="118822.59600000001"/>
        <n v="216"/>
        <n v="80955.202875000003"/>
        <n v="1726.718175"/>
        <n v="7323.84"/>
        <n v="3467.3241079999998"/>
        <n v="298953.00283200003"/>
        <n v="8374.0782839999993"/>
        <n v="87463.584000000003"/>
        <n v="9176.2759480000004"/>
        <n v="306218.48172500002"/>
        <n v="15609.623421"/>
        <n v="62783.142"/>
        <n v="11798.686527"/>
        <n v="776744.46579399996"/>
        <n v="34368.677282999997"/>
        <n v="211132.095634"/>
        <n v="15933.084831"/>
        <n v="659138.86642600002"/>
        <n v="34916.468396999997"/>
        <n v="174067.71599999999"/>
        <n v="11541.735307999999"/>
        <n v="555406.17931799998"/>
        <n v="22257.463876999998"/>
        <n v="159224.57708399999"/>
        <n v="14040.513440000001"/>
        <n v="860391.64462499996"/>
        <n v="32379.849222000001"/>
        <n v="201508.79576800001"/>
        <n v="3388.8"/>
        <n v="270259.11914999998"/>
        <n v="7584.1395839999996"/>
        <n v="50327.4"/>
        <n v="7606.1916000000001"/>
        <n v="927293.81312399998"/>
        <n v="20085.851019000002"/>
        <n v="204174.741072"/>
        <n v="1334.6953759999999"/>
        <n v="262737.33409199998"/>
        <n v="6694.8702839999996"/>
        <n v="79949.331267999994"/>
        <n v="9878.4902419999999"/>
        <n v="387330.82345800003"/>
        <n v="21359.124327000001"/>
        <n v="89674.333299999998"/>
        <n v="11322.539037"/>
        <n v="666066.94205199997"/>
        <n v="22032.963732"/>
        <n v="165531.129656"/>
        <n v="7670.9028520000002"/>
        <n v="522183.32010000001"/>
        <n v="17422.961082000002"/>
        <n v="121242.36"/>
        <n v="2435.9383200000002"/>
        <n v="140410.76879999999"/>
        <n v="5216.0527469999997"/>
        <n v="32808.516431999997"/>
        <n v="3959.0940000000001"/>
        <n v="86863.594574999996"/>
        <n v="6921.2785000000003"/>
        <n v="17041.848000000002"/>
        <n v="3568.44"/>
        <n v="315963.26184499997"/>
        <n v="6422.2445079999998"/>
        <n v="62758.925999999999"/>
        <n v="6772.2545829999999"/>
        <n v="475944.89467499999"/>
        <n v="16529.070358000001"/>
        <n v="96271.248000000007"/>
        <n v="1582.9870579999999"/>
        <n v="216360.372"/>
        <n v="4529.2881520000001"/>
        <n v="40735.379827999997"/>
        <n v="2103.42"/>
        <n v="260213.045308"/>
        <n v="6404.9398499999998"/>
        <n v="60040.836000000003"/>
        <n v="4737.0808909999996"/>
        <n v="297517.99604400003"/>
        <n v="9535.340526"/>
        <n v="25193.25"/>
        <n v="10185.265084000001"/>
        <n v="756629.54399999999"/>
        <n v="24078.653424"/>
        <n v="143752.56271200001"/>
        <n v="9043.5652680000003"/>
        <n v="545181.09500099998"/>
        <n v="22433.737799999999"/>
        <n v="81391.032000000007"/>
        <n v="4817.1375840000001"/>
        <n v="401355.498433"/>
        <n v="11873.646527000001"/>
        <n v="48091.025999999998"/>
        <n v="7897.3980000000001"/>
        <n v="802281.89475099999"/>
        <n v="21337.886966999999"/>
        <n v="72642.342000000004"/>
        <n v="5354.1661080000003"/>
        <n v="273542.22600000002"/>
        <n v="8497.7884580000009"/>
        <n v="32995.788"/>
        <n v="3953.9474850000001"/>
        <n v="719882.74004399998"/>
        <n v="13234.590867999999"/>
        <n v="111608.47457599999"/>
        <n v="1599.3720000000001"/>
        <n v="277151.71926799999"/>
        <n v="4858.6775170000001"/>
        <n v="40557.065999999999"/>
        <n v="6499.9679999999998"/>
        <n v="284751.86865600001"/>
        <n v="14295.492901"/>
        <n v="59695.482000000004"/>
        <n v="6622.6662120000001"/>
        <n v="539888.90735600004"/>
        <n v="13880.359026"/>
        <n v="86412.462"/>
        <n v="3648.096"/>
        <n v="468478.73202"/>
        <n v="9797.3409329999995"/>
        <n v="46695.131999999998"/>
        <n v="61075.043268000001"/>
        <n v="122.08799999999999"/>
        <n v="9618.2279999999992"/>
        <n v="954.75"/>
        <n v="31405.925999999999"/>
        <n v="944.19600000000003"/>
        <n v="3166.4279999999999"/>
        <n v="1554.2159999999999"/>
        <n v="316654.89600000001"/>
        <n v="4451.4391249999999"/>
        <n v="41175.563999999998"/>
        <n v="3906.0277839999999"/>
        <n v="419271.234"/>
        <n v="12470.822177"/>
        <n v="51363.498"/>
        <n v="53937.112800000003"/>
        <n v="116.98699999999999"/>
        <n v="2583.6480000000001"/>
        <n v="1767.0464199999999"/>
        <n v="286755.600744"/>
        <n v="7795.7053509999996"/>
        <n v="52195.998"/>
        <n v="6941.2334600000004"/>
        <n v="240529.08360000001"/>
        <n v="13061.057874"/>
        <n v="30004.572"/>
        <n v="10555.235640000001"/>
        <n v="747226.66084499995"/>
        <n v="28143.560281999999"/>
        <n v="157287.07459199999"/>
        <n v="10658.342119000001"/>
        <n v="562834.19267599995"/>
        <n v="23915.580385000001"/>
        <n v="104699.07"/>
        <n v="7677.6087230000003"/>
        <n v="514536.574532"/>
        <n v="16840.611767999999"/>
        <n v="79776.923999999999"/>
        <n v="8730.6423119999999"/>
        <n v="843404.17147199996"/>
        <n v="21370.252195000001"/>
        <n v="114872.41108799999"/>
        <n v="2631.5459999999998"/>
        <n v="320289.10200000001"/>
        <n v="5181.3929760000001"/>
        <n v="30308.777999999998"/>
        <n v="3492.3119999999999"/>
        <n v="563616.61800000002"/>
        <n v="10899.138213"/>
        <n v="109232.32799999999"/>
        <n v="1709.5749800000001"/>
        <n v="310074.28366800002"/>
        <n v="5774.2320840000002"/>
        <n v="36260.076000000001"/>
        <n v="8063.4926560000004"/>
        <n v="365253.54220800003"/>
        <n v="15445.292717"/>
        <n v="55859.357600000003"/>
        <n v="9681.2189080000007"/>
        <n v="590539.98864400003"/>
        <n v="18720.745126000002"/>
        <n v="129340.36199999999"/>
        <n v="6362.904837"/>
        <n v="478518.08614500001"/>
        <n v="13633.327841"/>
        <n v="59302.158000000003"/>
        <n v="2595.4380000000001"/>
        <n v="115341.94680000001"/>
        <n v="5150.4217079999999"/>
        <n v="17843.633999999998"/>
        <n v="434.99400000000003"/>
        <n v="14966.495999999999"/>
        <n v="1367.2439999999999"/>
        <n v="301.488"/>
        <n v="1703.934"/>
        <n v="402793.95480000001"/>
        <n v="4360.88645"/>
        <n v="48755.4"/>
        <n v="4320.4323720000002"/>
        <n v="472883.72547599999"/>
        <n v="13857.084440000001"/>
        <n v="63251.322"/>
        <n v="435.30599999999998"/>
        <n v="120737.90640000001"/>
        <n v="1560.9780000000001"/>
        <n v="19217.777999999998"/>
        <n v="2351.0502999999999"/>
        <n v="108458.3484"/>
        <n v="4672.5015320000002"/>
        <n v="29931.108"/>
        <n v="6150.0711769999998"/>
        <n v="333130.28519999998"/>
        <n v="15638.771473999999"/>
        <n v="84864.924700000003"/>
        <n v="5969.1669789999996"/>
        <n v="272684.37965800002"/>
        <n v="9440.6110840000001"/>
        <n v="49892.063999999998"/>
        <n v="3908.9364110000001"/>
        <n v="347534.42619600001"/>
        <n v="8782.8740570000009"/>
        <n v="65752.872000000003"/>
        <n v="3006.2076010000001"/>
        <n v="227077.132408"/>
        <n v="7304.8443850000003"/>
        <n v="45322.86"/>
        <n v="5211.7860000000001"/>
        <n v="178513.21919999999"/>
        <n v="9040.3443520000001"/>
        <n v="34579.631999999998"/>
        <n v="2780.468108"/>
        <n v="283670.46360000002"/>
        <n v="8781.6326509999999"/>
        <n v="74774.418000000005"/>
        <n v="323.30399999999997"/>
        <n v="120107.4552"/>
        <n v="1572.756108"/>
        <n v="29110.362000000001"/>
        <n v="1686.0840000000001"/>
        <n v="108980.53200000001"/>
        <n v="4332.1270000000004"/>
        <n v="21987.504000000001"/>
        <n v="2200.233236"/>
        <n v="91371.279351999998"/>
        <n v="3680.534709"/>
        <n v="21984.252"/>
        <n v="404.286"/>
        <n v="171364.6692"/>
        <n v="2022.45"/>
        <n v="46333.77"/>
        <n v="1139.088"/>
        <n v="31384.745999999999"/>
        <n v="961.95"/>
        <n v="4167.1379999999999"/>
        <n v="4197.1139999999996"/>
        <n v="1339.3440000000001"/>
        <n v="117703.05959999999"/>
        <n v="2889.8955080000001"/>
        <n v="21450.696"/>
        <n v="1705.8209039999999"/>
        <n v="199213.848"/>
        <n v="3489.2236480000001"/>
        <n v="28482.972000000002"/>
      </sharedItems>
    </cacheField>
    <cacheField name="PerformanceBucket" numFmtId="0">
      <sharedItems count="4">
        <s v="Partial sales history"/>
        <s v="Below quota"/>
        <s v="Met or exceeded quota"/>
        <s v="No quota record"/>
      </sharedItems>
    </cacheField>
    <cacheField name="ExpectedSalespersonName" numFmtId="0">
      <sharedItems/>
    </cacheField>
    <cacheField name="NameCheck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9">
  <r>
    <n v="283"/>
    <s v="David Campbell"/>
    <s v="Northwest"/>
    <x v="0"/>
    <x v="0"/>
    <s v="2011-05-31 00:00:00.000"/>
    <n v="69472.996299999999"/>
    <x v="0"/>
    <s v="NULL"/>
    <s v="NULL"/>
    <s v="NULL"/>
    <n v="5"/>
    <s v="Partial sales history"/>
    <x v="0"/>
    <s v="No prior quota"/>
  </r>
  <r>
    <n v="278"/>
    <s v="Garrett Vargas"/>
    <s v="Canada"/>
    <x v="0"/>
    <x v="0"/>
    <s v="2011-05-31 00:00:00.000"/>
    <n v="9109.1682999999994"/>
    <x v="1"/>
    <s v="NULL"/>
    <s v="NULL"/>
    <s v="NULL"/>
    <n v="2"/>
    <s v="Partial sales history"/>
    <x v="0"/>
    <s v="No prior quota"/>
  </r>
  <r>
    <n v="277"/>
    <s v="Jillian Carson"/>
    <s v="Central"/>
    <x v="0"/>
    <x v="0"/>
    <s v="2011-05-31 00:00:00.000"/>
    <n v="46695.556400000001"/>
    <x v="2"/>
    <s v="NULL"/>
    <s v="NULL"/>
    <s v="NULL"/>
    <n v="4"/>
    <s v="Partial sales history"/>
    <x v="0"/>
    <s v="No prior quota"/>
  </r>
  <r>
    <n v="282"/>
    <s v="José Saraiva"/>
    <s v="Canada"/>
    <x v="0"/>
    <x v="0"/>
    <s v="2011-05-31 00:00:00.000"/>
    <n v="106251.7277"/>
    <x v="3"/>
    <s v="NULL"/>
    <s v="NULL"/>
    <s v="NULL"/>
    <n v="5"/>
    <s v="Partial sales history"/>
    <x v="0"/>
    <s v="No prior quota"/>
  </r>
  <r>
    <n v="276"/>
    <s v="Linda Mitchell"/>
    <s v="Southwest"/>
    <x v="0"/>
    <x v="0"/>
    <s v="2011-05-31 00:00:00.000"/>
    <n v="5475.9485000000004"/>
    <x v="4"/>
    <s v="NULL"/>
    <s v="NULL"/>
    <s v="NULL"/>
    <n v="2"/>
    <s v="Partial sales history"/>
    <x v="0"/>
    <s v="No prior quota"/>
  </r>
  <r>
    <n v="275"/>
    <s v="Michael Blythe"/>
    <s v="Northeast"/>
    <x v="0"/>
    <x v="0"/>
    <s v="2011-05-31 00:00:00.000"/>
    <n v="63762.9228"/>
    <x v="5"/>
    <s v="NULL"/>
    <s v="NULL"/>
    <s v="NULL"/>
    <n v="8"/>
    <s v="Partial sales history"/>
    <x v="0"/>
    <s v="No prior quota"/>
  </r>
  <r>
    <n v="280"/>
    <s v="Pamela Ansman-Wolfe"/>
    <s v="Northwest"/>
    <x v="0"/>
    <x v="0"/>
    <s v="2011-05-31 00:00:00.000"/>
    <n v="24432.608800000002"/>
    <x v="6"/>
    <s v="NULL"/>
    <s v="NULL"/>
    <s v="NULL"/>
    <n v="1"/>
    <s v="Partial sales history"/>
    <x v="0"/>
    <s v="No prior quota"/>
  </r>
  <r>
    <n v="281"/>
    <s v="Shu Ito"/>
    <s v="Southwest"/>
    <x v="0"/>
    <x v="0"/>
    <s v="2011-05-31 00:00:00.000"/>
    <n v="59708.320800000001"/>
    <x v="7"/>
    <s v="NULL"/>
    <s v="NULL"/>
    <s v="NULL"/>
    <n v="3"/>
    <s v="Partial sales history"/>
    <x v="0"/>
    <s v="No prior quota"/>
  </r>
  <r>
    <n v="274"/>
    <s v="Stephen Jiang"/>
    <s v="Unassigned"/>
    <x v="0"/>
    <x v="0"/>
    <s v="2011-05-31 00:00:00.000"/>
    <n v="0"/>
    <x v="8"/>
    <s v="NULL"/>
    <s v="NULL"/>
    <s v="NULL"/>
    <n v="0"/>
    <s v="Partial sales history"/>
    <x v="0"/>
    <s v="No prior quota"/>
  </r>
  <r>
    <n v="279"/>
    <s v="Tsvi Reiter"/>
    <s v="Southeast"/>
    <x v="0"/>
    <x v="0"/>
    <s v="2011-05-31 00:00:00.000"/>
    <n v="104419.3291"/>
    <x v="9"/>
    <s v="NULL"/>
    <s v="NULL"/>
    <s v="NULL"/>
    <n v="8"/>
    <s v="Partial sales history"/>
    <x v="0"/>
    <s v="No prior quota"/>
  </r>
  <r>
    <n v="283"/>
    <s v="David Campbell"/>
    <s v="Northwest"/>
    <x v="0"/>
    <x v="1"/>
    <s v="2011-08-31 00:00:00.000"/>
    <n v="240723.05655000001"/>
    <x v="10"/>
    <n v="226000"/>
    <n v="-112276.94345000001"/>
    <n v="68.1935"/>
    <n v="10"/>
    <s v="Comparable period"/>
    <x v="1"/>
    <s v="No major change flagged"/>
  </r>
  <r>
    <n v="278"/>
    <s v="Garrett Vargas"/>
    <s v="Canada"/>
    <x v="0"/>
    <x v="1"/>
    <s v="2011-08-31 00:00:00.000"/>
    <n v="233695.66639999999"/>
    <x v="11"/>
    <n v="244000"/>
    <n v="-122304.3336"/>
    <n v="65.644850000000005"/>
    <n v="13"/>
    <s v="Comparable period"/>
    <x v="1"/>
    <s v="No major change flagged"/>
  </r>
  <r>
    <n v="277"/>
    <s v="Jillian Carson"/>
    <s v="Central"/>
    <x v="0"/>
    <x v="1"/>
    <s v="2011-08-31 00:00:00.000"/>
    <n v="501750.77957399999"/>
    <x v="12"/>
    <n v="565000"/>
    <n v="-370249.22042600001"/>
    <n v="57.540227000000002"/>
    <n v="26"/>
    <s v="Comparable period"/>
    <x v="1"/>
    <s v="No major change flagged"/>
  </r>
  <r>
    <n v="282"/>
    <s v="José Saraiva"/>
    <s v="Canada"/>
    <x v="0"/>
    <x v="1"/>
    <s v="2011-08-31 00:00:00.000"/>
    <n v="521793.53958400001"/>
    <x v="13"/>
    <n v="525000"/>
    <n v="-245206.46041599999"/>
    <n v="68.030448000000007"/>
    <n v="26"/>
    <s v="Comparable period"/>
    <x v="1"/>
    <s v="No major change flagged"/>
  </r>
  <r>
    <n v="276"/>
    <s v="Linda Mitchell"/>
    <s v="Southwest"/>
    <x v="0"/>
    <x v="1"/>
    <s v="2011-08-31 00:00:00.000"/>
    <n v="459539.3567"/>
    <x v="14"/>
    <n v="637000"/>
    <n v="-321460.6433"/>
    <n v="58.839866000000001"/>
    <n v="19"/>
    <s v="Comparable period"/>
    <x v="1"/>
    <s v="No major change flagged"/>
  </r>
  <r>
    <n v="275"/>
    <s v="Michael Blythe"/>
    <s v="Northeast"/>
    <x v="0"/>
    <x v="1"/>
    <s v="2011-08-31 00:00:00.000"/>
    <n v="348807.30530000001"/>
    <x v="15"/>
    <n v="367000"/>
    <n v="-207192.69469999999"/>
    <n v="62.735126000000001"/>
    <n v="28"/>
    <s v="Comparable period"/>
    <x v="1"/>
    <s v="No major change flagged"/>
  </r>
  <r>
    <n v="280"/>
    <s v="Pamela Ansman-Wolfe"/>
    <s v="Northwest"/>
    <x v="0"/>
    <x v="1"/>
    <s v="2011-08-31 00:00:00.000"/>
    <n v="224635.62090000001"/>
    <x v="16"/>
    <n v="165000"/>
    <n v="-244364.37909999999"/>
    <n v="47.896720000000002"/>
    <n v="9"/>
    <s v="Comparable period"/>
    <x v="1"/>
    <s v="No major change flagged"/>
  </r>
  <r>
    <n v="281"/>
    <s v="Shu Ito"/>
    <s v="Southwest"/>
    <x v="0"/>
    <x v="1"/>
    <s v="2011-08-31 00:00:00.000"/>
    <n v="416163.17257599998"/>
    <x v="17"/>
    <n v="460000"/>
    <n v="-132836.82742399999"/>
    <n v="75.803855999999996"/>
    <n v="15"/>
    <s v="Comparable period"/>
    <x v="1"/>
    <s v="No major change flagged"/>
  </r>
  <r>
    <n v="274"/>
    <s v="Stephen Jiang"/>
    <s v="Unassigned"/>
    <x v="0"/>
    <x v="1"/>
    <s v="2011-08-31 00:00:00.000"/>
    <n v="22584.695500000002"/>
    <x v="18"/>
    <n v="28000"/>
    <n v="15584.6955"/>
    <n v="322.638507"/>
    <n v="2"/>
    <s v="Comparable period"/>
    <x v="1"/>
    <s v="No major change flagged"/>
  </r>
  <r>
    <n v="279"/>
    <s v="Tsvi Reiter"/>
    <s v="Southeast"/>
    <x v="0"/>
    <x v="1"/>
    <s v="2011-08-31 00:00:00.000"/>
    <n v="579333.19310000003"/>
    <x v="19"/>
    <n v="669000"/>
    <n v="-337666.80690000003"/>
    <n v="63.177011"/>
    <n v="27"/>
    <s v="Comparable period"/>
    <x v="1"/>
    <s v="No major change flagged"/>
  </r>
  <r>
    <n v="283"/>
    <s v="David Campbell"/>
    <s v="Northwest"/>
    <x v="0"/>
    <x v="2"/>
    <s v="2011-12-01 00:00:00.000"/>
    <n v="289791.89150000003"/>
    <x v="20"/>
    <n v="353000"/>
    <n v="9791.8914999999997"/>
    <n v="103.49710399999999"/>
    <n v="13"/>
    <s v="Comparable period"/>
    <x v="1"/>
    <s v="No major change flagged"/>
  </r>
  <r>
    <n v="278"/>
    <s v="Garrett Vargas"/>
    <s v="Canada"/>
    <x v="0"/>
    <x v="2"/>
    <s v="2011-12-01 00:00:00.000"/>
    <n v="257286.98550000001"/>
    <x v="21"/>
    <n v="356000"/>
    <n v="-8713.0144999999993"/>
    <n v="96.724429999999998"/>
    <n v="15"/>
    <s v="Comparable period"/>
    <x v="1"/>
    <s v="No major change flagged"/>
  </r>
  <r>
    <n v="277"/>
    <s v="Jillian Carson"/>
    <s v="Central"/>
    <x v="0"/>
    <x v="2"/>
    <s v="2011-12-01 00:00:00.000"/>
    <n v="763180.95587199996"/>
    <x v="22"/>
    <n v="872000"/>
    <n v="-82819.044127999994"/>
    <n v="90.210514000000003"/>
    <n v="29"/>
    <s v="Comparable period"/>
    <x v="1"/>
    <s v="No major change flagged"/>
  </r>
  <r>
    <n v="282"/>
    <s v="José Saraiva"/>
    <s v="Canada"/>
    <x v="0"/>
    <x v="2"/>
    <s v="2011-12-01 00:00:00.000"/>
    <n v="546962.20804000006"/>
    <x v="23"/>
    <n v="767000"/>
    <n v="-36037.791960000002"/>
    <n v="93.818560000000005"/>
    <n v="25"/>
    <s v="Comparable period"/>
    <x v="1"/>
    <s v="No major change flagged"/>
  </r>
  <r>
    <n v="276"/>
    <s v="Linda Mitchell"/>
    <s v="Southwest"/>
    <x v="0"/>
    <x v="2"/>
    <s v="2011-12-01 00:00:00.000"/>
    <n v="684700.02009999997"/>
    <x v="24"/>
    <n v="781000"/>
    <n v="19700.020100000002"/>
    <n v="102.96240899999999"/>
    <n v="25"/>
    <s v="Comparable period"/>
    <x v="1"/>
    <s v="No major change flagged"/>
  </r>
  <r>
    <n v="275"/>
    <s v="Michael Blythe"/>
    <s v="Northeast"/>
    <x v="0"/>
    <x v="2"/>
    <s v="2011-12-01 00:00:00.000"/>
    <n v="463253.60373999999"/>
    <x v="25"/>
    <n v="556000"/>
    <n v="-38746.396260000001"/>
    <n v="92.281593999999998"/>
    <n v="29"/>
    <s v="Comparable period"/>
    <x v="1"/>
    <s v="No major change flagged"/>
  </r>
  <r>
    <n v="280"/>
    <s v="Pamela Ansman-Wolfe"/>
    <s v="Northwest"/>
    <x v="0"/>
    <x v="2"/>
    <s v="2011-12-01 00:00:00.000"/>
    <n v="399417.35649999999"/>
    <x v="26"/>
    <n v="469000"/>
    <n v="135417.35649999999"/>
    <n v="151.294453"/>
    <n v="12"/>
    <s v="Comparable period"/>
    <x v="1"/>
    <s v="No major change flagged"/>
  </r>
  <r>
    <n v="281"/>
    <s v="Shu Ito"/>
    <s v="Southwest"/>
    <x v="0"/>
    <x v="2"/>
    <s v="2011-12-01 00:00:00.000"/>
    <n v="491725.79655000003"/>
    <x v="27"/>
    <n v="549000"/>
    <n v="18725.796549999999"/>
    <n v="103.95894199999999"/>
    <n v="15"/>
    <s v="Comparable period"/>
    <x v="1"/>
    <s v="No major change flagged"/>
  </r>
  <r>
    <n v="274"/>
    <s v="Stephen Jiang"/>
    <s v="Unassigned"/>
    <x v="0"/>
    <x v="2"/>
    <s v="2011-12-01 00:00:00.000"/>
    <n v="6341.5510000000004"/>
    <x v="28"/>
    <n v="7000"/>
    <n v="-84658.448999999993"/>
    <n v="6.968737"/>
    <n v="2"/>
    <s v="Comparable period"/>
    <x v="1"/>
    <s v="Review: quota increased &gt;5x"/>
  </r>
  <r>
    <n v="279"/>
    <s v="Tsvi Reiter"/>
    <s v="Southeast"/>
    <x v="0"/>
    <x v="2"/>
    <s v="2011-12-01 00:00:00.000"/>
    <n v="837536.66586800001"/>
    <x v="29"/>
    <n v="917000"/>
    <n v="57536.665867999996"/>
    <n v="107.37649500000001"/>
    <n v="28"/>
    <s v="Comparable period"/>
    <x v="1"/>
    <s v="No major change flagged"/>
  </r>
  <r>
    <n v="283"/>
    <s v="David Campbell"/>
    <s v="Northwest"/>
    <x v="1"/>
    <x v="3"/>
    <s v="2012-02-29 00:00:00.000"/>
    <n v="397533.7121"/>
    <x v="30"/>
    <n v="280000"/>
    <n v="130533.7121"/>
    <n v="148.88902999999999"/>
    <n v="14"/>
    <s v="Comparable period"/>
    <x v="1"/>
    <s v="No major change flagged"/>
  </r>
  <r>
    <n v="278"/>
    <s v="Garrett Vargas"/>
    <s v="Canada"/>
    <x v="1"/>
    <x v="3"/>
    <s v="2012-02-29 00:00:00.000"/>
    <n v="410517.61849199998"/>
    <x v="31"/>
    <n v="266000"/>
    <n v="69517.618491999994"/>
    <n v="120.386398"/>
    <n v="20"/>
    <s v="Comparable period"/>
    <x v="1"/>
    <s v="No major change flagged"/>
  </r>
  <r>
    <n v="277"/>
    <s v="Jillian Carson"/>
    <s v="Central"/>
    <x v="1"/>
    <x v="3"/>
    <s v="2012-02-29 00:00:00.000"/>
    <n v="1161798.213"/>
    <x v="32"/>
    <n v="846000"/>
    <n v="209798.21299999999"/>
    <n v="122.037627"/>
    <n v="38"/>
    <s v="Comparable period"/>
    <x v="1"/>
    <s v="No major change flagged"/>
  </r>
  <r>
    <n v="282"/>
    <s v="José Saraiva"/>
    <s v="Canada"/>
    <x v="1"/>
    <x v="3"/>
    <s v="2012-02-29 00:00:00.000"/>
    <n v="795860.63297200005"/>
    <x v="23"/>
    <n v="583000"/>
    <n v="212860.63297199999"/>
    <n v="136.511257"/>
    <n v="38"/>
    <s v="Comparable period"/>
    <x v="1"/>
    <s v="No major change flagged"/>
  </r>
  <r>
    <n v="276"/>
    <s v="Linda Mitchell"/>
    <s v="Southwest"/>
    <x v="1"/>
    <x v="3"/>
    <s v="2012-02-29 00:00:00.000"/>
    <n v="991013.82761000004"/>
    <x v="33"/>
    <n v="665000"/>
    <n v="352013.82760999998"/>
    <n v="155.088235"/>
    <n v="36"/>
    <s v="Comparable period"/>
    <x v="1"/>
    <s v="No major change flagged"/>
  </r>
  <r>
    <n v="275"/>
    <s v="Michael Blythe"/>
    <s v="Northeast"/>
    <x v="1"/>
    <x v="3"/>
    <s v="2012-02-29 00:00:00.000"/>
    <n v="600029.48219999997"/>
    <x v="34"/>
    <n v="502000"/>
    <n v="50029.482199999999"/>
    <n v="109.09626900000001"/>
    <n v="39"/>
    <s v="Comparable period"/>
    <x v="1"/>
    <s v="No major change flagged"/>
  </r>
  <r>
    <n v="280"/>
    <s v="Pamela Ansman-Wolfe"/>
    <s v="Northwest"/>
    <x v="1"/>
    <x v="3"/>
    <s v="2012-02-29 00:00:00.000"/>
    <n v="518999.10830000002"/>
    <x v="35"/>
    <n v="264000"/>
    <n v="217999.10829999999"/>
    <n v="172.42495199999999"/>
    <n v="19"/>
    <s v="Comparable period"/>
    <x v="1"/>
    <s v="No major change flagged"/>
  </r>
  <r>
    <n v="281"/>
    <s v="Shu Ito"/>
    <s v="Southwest"/>
    <x v="1"/>
    <x v="3"/>
    <s v="2012-02-29 00:00:00.000"/>
    <n v="511479.34570000001"/>
    <x v="36"/>
    <n v="473000"/>
    <n v="18479.345700000002"/>
    <n v="103.748345"/>
    <n v="17"/>
    <s v="Comparable period"/>
    <x v="1"/>
    <s v="No major change flagged"/>
  </r>
  <r>
    <n v="274"/>
    <s v="Stephen Jiang"/>
    <s v="Unassigned"/>
    <x v="1"/>
    <x v="3"/>
    <s v="2012-02-29 00:00:00.000"/>
    <n v="112920.92849999999"/>
    <x v="37"/>
    <n v="91000"/>
    <n v="-27079.071499999998"/>
    <n v="80.657805999999994"/>
    <n v="4"/>
    <s v="Comparable period"/>
    <x v="1"/>
    <s v="No major change flagged"/>
  </r>
  <r>
    <n v="279"/>
    <s v="Tsvi Reiter"/>
    <s v="Southeast"/>
    <x v="1"/>
    <x v="3"/>
    <s v="2012-02-29 00:00:00.000"/>
    <n v="1007933.129092"/>
    <x v="38"/>
    <n v="780000"/>
    <n v="205933.12909199999"/>
    <n v="125.677447"/>
    <n v="40"/>
    <s v="Comparable period"/>
    <x v="1"/>
    <s v="No major change flagged"/>
  </r>
  <r>
    <n v="287"/>
    <s v="Amy Alberts"/>
    <s v="Unassigned"/>
    <x v="1"/>
    <x v="0"/>
    <s v="2012-05-30 00:00:00.000"/>
    <n v="73732.468487999999"/>
    <x v="39"/>
    <s v="NULL"/>
    <n v="-19267.531512000001"/>
    <n v="79.282223999999999"/>
    <n v="3"/>
    <s v="Comparable period"/>
    <x v="1"/>
    <s v="No prior quota"/>
  </r>
  <r>
    <n v="283"/>
    <s v="David Campbell"/>
    <s v="Northwest"/>
    <x v="1"/>
    <x v="0"/>
    <s v="2012-05-30 00:00:00.000"/>
    <n v="363856.14902399998"/>
    <x v="40"/>
    <n v="267000"/>
    <n v="-119143.850976"/>
    <n v="75.332536000000005"/>
    <n v="17"/>
    <s v="Comparable period"/>
    <x v="1"/>
    <s v="No major change flagged"/>
  </r>
  <r>
    <n v="278"/>
    <s v="Garrett Vargas"/>
    <s v="Canada"/>
    <x v="1"/>
    <x v="0"/>
    <s v="2012-05-30 00:00:00.000"/>
    <n v="352587.05977200001"/>
    <x v="41"/>
    <n v="341000"/>
    <n v="-189412.94022799999"/>
    <n v="65.052963000000005"/>
    <n v="17"/>
    <s v="Comparable period"/>
    <x v="1"/>
    <s v="No major change flagged"/>
  </r>
  <r>
    <n v="289"/>
    <s v="Jae Pak"/>
    <s v="United Kingdom"/>
    <x v="1"/>
    <x v="0"/>
    <s v="2012-05-30 00:00:00.000"/>
    <n v="963345.107923"/>
    <x v="42"/>
    <s v="NULL"/>
    <n v="-934654.892077"/>
    <n v="50.755800999999998"/>
    <n v="27"/>
    <s v="Comparable period"/>
    <x v="1"/>
    <s v="No prior quota"/>
  </r>
  <r>
    <n v="277"/>
    <s v="Jillian Carson"/>
    <s v="Central"/>
    <x v="1"/>
    <x v="0"/>
    <s v="2012-05-30 00:00:00.000"/>
    <n v="1069513.873015"/>
    <x v="43"/>
    <n v="952000"/>
    <n v="-530486.12698499998"/>
    <n v="66.844617"/>
    <n v="37"/>
    <s v="Comparable period"/>
    <x v="1"/>
    <s v="No major change flagged"/>
  </r>
  <r>
    <n v="282"/>
    <s v="José Saraiva"/>
    <s v="Canada"/>
    <x v="1"/>
    <x v="0"/>
    <s v="2012-05-30 00:00:00.000"/>
    <n v="307378.87864000001"/>
    <x v="44"/>
    <n v="583000"/>
    <n v="-188621.12135999999"/>
    <n v="61.971547999999999"/>
    <n v="16"/>
    <s v="Comparable period"/>
    <x v="1"/>
    <s v="No major change flagged"/>
  </r>
  <r>
    <n v="276"/>
    <s v="Linda Mitchell"/>
    <s v="Southwest"/>
    <x v="1"/>
    <x v="0"/>
    <s v="2012-05-30 00:00:00.000"/>
    <n v="878631.18768800003"/>
    <x v="45"/>
    <n v="639000"/>
    <n v="-476368.81231200002"/>
    <n v="64.843630000000005"/>
    <n v="32"/>
    <s v="Comparable period"/>
    <x v="1"/>
    <s v="No major change flagged"/>
  </r>
  <r>
    <n v="275"/>
    <s v="Michael Blythe"/>
    <s v="Northeast"/>
    <x v="1"/>
    <x v="0"/>
    <s v="2012-05-30 00:00:00.000"/>
    <n v="987502.76113700005"/>
    <x v="46"/>
    <n v="550000"/>
    <n v="-441497.23886300001"/>
    <n v="69.104461000000001"/>
    <n v="37"/>
    <s v="Comparable period"/>
    <x v="1"/>
    <s v="No major change flagged"/>
  </r>
  <r>
    <n v="280"/>
    <s v="Pamela Ansman-Wolfe"/>
    <s v="Northwest"/>
    <x v="1"/>
    <x v="0"/>
    <s v="2012-05-30 00:00:00.000"/>
    <n v="390023.582979"/>
    <x v="47"/>
    <n v="301000"/>
    <n v="180023.582979"/>
    <n v="185.725515"/>
    <n v="13"/>
    <s v="Comparable period"/>
    <x v="1"/>
    <s v="No major change flagged"/>
  </r>
  <r>
    <n v="290"/>
    <s v="Ranjit Varkey Chudukatil"/>
    <s v="France"/>
    <x v="1"/>
    <x v="0"/>
    <s v="2012-05-30 00:00:00.000"/>
    <n v="360245.81910999998"/>
    <x v="48"/>
    <s v="NULL"/>
    <n v="-232754.18088999999"/>
    <n v="60.749715999999999"/>
    <n v="11"/>
    <s v="Comparable period"/>
    <x v="1"/>
    <s v="No prior quota"/>
  </r>
  <r>
    <n v="281"/>
    <s v="Shu Ito"/>
    <s v="Southwest"/>
    <x v="1"/>
    <x v="0"/>
    <s v="2012-05-30 00:00:00.000"/>
    <n v="533632.34414900001"/>
    <x v="49"/>
    <n v="493000"/>
    <n v="-500367.65585099999"/>
    <n v="51.608542999999997"/>
    <n v="18"/>
    <s v="Comparable period"/>
    <x v="1"/>
    <s v="No major change flagged"/>
  </r>
  <r>
    <n v="274"/>
    <s v="Stephen Jiang"/>
    <s v="Unassigned"/>
    <x v="1"/>
    <x v="0"/>
    <s v="2012-05-30 00:00:00.000"/>
    <n v="103863.0045"/>
    <x v="50"/>
    <n v="140000"/>
    <n v="33863.004500000003"/>
    <n v="148.37572"/>
    <n v="8"/>
    <s v="Comparable period"/>
    <x v="1"/>
    <s v="No major change flagged"/>
  </r>
  <r>
    <n v="279"/>
    <s v="Tsvi Reiter"/>
    <s v="Southeast"/>
    <x v="1"/>
    <x v="0"/>
    <s v="2012-05-30 00:00:00.000"/>
    <n v="612371.76659599994"/>
    <x v="51"/>
    <n v="802000"/>
    <n v="-121628.233404"/>
    <n v="83.429395"/>
    <n v="43"/>
    <s v="Comparable period"/>
    <x v="1"/>
    <s v="No major change flagged"/>
  </r>
  <r>
    <n v="287"/>
    <s v="Amy Alberts"/>
    <s v="Unassigned"/>
    <x v="1"/>
    <x v="1"/>
    <s v="2012-08-30 00:00:00.000"/>
    <n v="12648.132600000001"/>
    <x v="52"/>
    <n v="93000"/>
    <n v="-2351.8674000000001"/>
    <n v="84.320884000000007"/>
    <n v="2"/>
    <s v="Comparable period"/>
    <x v="1"/>
    <s v="Review: quota fell by &gt;80%"/>
  </r>
  <r>
    <n v="283"/>
    <s v="David Campbell"/>
    <s v="Northwest"/>
    <x v="1"/>
    <x v="1"/>
    <s v="2012-08-30 00:00:00.000"/>
    <n v="311207.66193599999"/>
    <x v="31"/>
    <n v="483000"/>
    <n v="-29792.338064"/>
    <n v="91.263243000000003"/>
    <n v="16"/>
    <s v="Comparable period"/>
    <x v="1"/>
    <s v="No major change flagged"/>
  </r>
  <r>
    <n v="278"/>
    <s v="Garrett Vargas"/>
    <s v="Canada"/>
    <x v="1"/>
    <x v="1"/>
    <s v="2012-08-30 00:00:00.000"/>
    <n v="316818.06738800002"/>
    <x v="53"/>
    <n v="542000"/>
    <n v="-12181.932612000001"/>
    <n v="96.297284000000005"/>
    <n v="22"/>
    <s v="Comparable period"/>
    <x v="1"/>
    <s v="No major change flagged"/>
  </r>
  <r>
    <n v="289"/>
    <s v="Jae Pak"/>
    <s v="United Kingdom"/>
    <x v="1"/>
    <x v="1"/>
    <s v="2012-08-30 00:00:00.000"/>
    <n v="1150963.284248"/>
    <x v="54"/>
    <n v="1898000"/>
    <n v="-111036.715752"/>
    <n v="91.201527999999996"/>
    <n v="39"/>
    <s v="Comparable period"/>
    <x v="1"/>
    <s v="No major change flagged"/>
  </r>
  <r>
    <n v="277"/>
    <s v="Jillian Carson"/>
    <s v="Central"/>
    <x v="1"/>
    <x v="1"/>
    <s v="2012-08-30 00:00:00.000"/>
    <n v="1156716.6382929999"/>
    <x v="55"/>
    <n v="1600000"/>
    <n v="-195283.361707"/>
    <n v="85.555964000000003"/>
    <n v="41"/>
    <s v="Comparable period"/>
    <x v="1"/>
    <s v="No major change flagged"/>
  </r>
  <r>
    <n v="282"/>
    <s v="José Saraiva"/>
    <s v="Canada"/>
    <x v="1"/>
    <x v="1"/>
    <s v="2012-08-30 00:00:00.000"/>
    <n v="408414.81043100002"/>
    <x v="56"/>
    <n v="496000"/>
    <n v="-43585.189569000002"/>
    <n v="90.357258000000002"/>
    <n v="16"/>
    <s v="Comparable period"/>
    <x v="1"/>
    <s v="No major change flagged"/>
  </r>
  <r>
    <n v="276"/>
    <s v="Linda Mitchell"/>
    <s v="Southwest"/>
    <x v="1"/>
    <x v="1"/>
    <s v="2012-08-30 00:00:00.000"/>
    <n v="1087510.951537"/>
    <x v="57"/>
    <n v="1355000"/>
    <n v="78510.951537000001"/>
    <n v="107.781065"/>
    <n v="42"/>
    <s v="Comparable period"/>
    <x v="1"/>
    <s v="No major change flagged"/>
  </r>
  <r>
    <n v="275"/>
    <s v="Michael Blythe"/>
    <s v="Northeast"/>
    <x v="1"/>
    <x v="1"/>
    <s v="2012-08-30 00:00:00.000"/>
    <n v="1142965.4284930001"/>
    <x v="58"/>
    <n v="1429000"/>
    <n v="-181034.57150699999"/>
    <n v="86.326693000000006"/>
    <n v="42"/>
    <s v="Comparable period"/>
    <x v="1"/>
    <s v="No major change flagged"/>
  </r>
  <r>
    <n v="280"/>
    <s v="Pamela Ansman-Wolfe"/>
    <s v="Northwest"/>
    <x v="1"/>
    <x v="1"/>
    <s v="2012-08-30 00:00:00.000"/>
    <n v="180395.881956"/>
    <x v="0"/>
    <n v="210000"/>
    <n v="-45604.118044000003"/>
    <n v="79.821185999999997"/>
    <n v="10"/>
    <s v="Comparable period"/>
    <x v="1"/>
    <s v="No major change flagged"/>
  </r>
  <r>
    <n v="290"/>
    <s v="Ranjit Varkey Chudukatil"/>
    <s v="France"/>
    <x v="1"/>
    <x v="1"/>
    <s v="2012-08-30 00:00:00.000"/>
    <n v="400092.28992499999"/>
    <x v="59"/>
    <n v="593000"/>
    <n v="-8907.7100750000009"/>
    <n v="97.822074999999998"/>
    <n v="17"/>
    <s v="Comparable period"/>
    <x v="1"/>
    <s v="No major change flagged"/>
  </r>
  <r>
    <n v="281"/>
    <s v="Shu Ito"/>
    <s v="Southwest"/>
    <x v="1"/>
    <x v="1"/>
    <s v="2012-08-30 00:00:00.000"/>
    <n v="724359.87075899995"/>
    <x v="60"/>
    <n v="1034000"/>
    <n v="-88640.129241000002"/>
    <n v="89.097155000000001"/>
    <n v="19"/>
    <s v="Comparable period"/>
    <x v="1"/>
    <s v="No major change flagged"/>
  </r>
  <r>
    <n v="274"/>
    <s v="Stephen Jiang"/>
    <s v="Unassigned"/>
    <x v="1"/>
    <x v="1"/>
    <s v="2012-08-30 00:00:00.000"/>
    <n v="59444.3894"/>
    <x v="61"/>
    <n v="70000"/>
    <n v="-94555.6106"/>
    <n v="38.600251999999998"/>
    <n v="7"/>
    <s v="Comparable period"/>
    <x v="1"/>
    <s v="No major change flagged"/>
  </r>
  <r>
    <n v="284"/>
    <s v="Tete Mensa-Annan"/>
    <s v="Northwest"/>
    <x v="1"/>
    <x v="1"/>
    <s v="2012-08-30 00:00:00.000"/>
    <n v="221788.37867599999"/>
    <x v="62"/>
    <s v="NULL"/>
    <n v="-99211.621324000007"/>
    <n v="69.092951999999997"/>
    <n v="8"/>
    <s v="Comparable period"/>
    <x v="1"/>
    <s v="No prior quota"/>
  </r>
  <r>
    <n v="279"/>
    <s v="Tsvi Reiter"/>
    <s v="Southeast"/>
    <x v="1"/>
    <x v="1"/>
    <s v="2012-08-30 00:00:00.000"/>
    <n v="568003.95143899997"/>
    <x v="63"/>
    <n v="734000"/>
    <n v="-78996.048561000003"/>
    <n v="87.790408999999997"/>
    <n v="36"/>
    <s v="Comparable period"/>
    <x v="1"/>
    <s v="No major change flagged"/>
  </r>
  <r>
    <n v="287"/>
    <s v="Amy Alberts"/>
    <s v="Unassigned"/>
    <x v="1"/>
    <x v="2"/>
    <s v="2012-11-30 00:00:00.000"/>
    <n v="29649.050899999998"/>
    <x v="64"/>
    <n v="15000"/>
    <n v="-3350.9490999999998"/>
    <n v="89.845607999999999"/>
    <n v="2"/>
    <s v="Comparable period"/>
    <x v="1"/>
    <s v="No major change flagged"/>
  </r>
  <r>
    <n v="283"/>
    <s v="David Campbell"/>
    <s v="Northwest"/>
    <x v="1"/>
    <x v="2"/>
    <s v="2012-11-30 00:00:00.000"/>
    <n v="215471.20041699999"/>
    <x v="65"/>
    <n v="341000"/>
    <n v="64471.200417"/>
    <n v="142.69615899999999"/>
    <n v="16"/>
    <s v="Comparable period"/>
    <x v="1"/>
    <s v="No major change flagged"/>
  </r>
  <r>
    <n v="278"/>
    <s v="Garrett Vargas"/>
    <s v="Canada"/>
    <x v="1"/>
    <x v="2"/>
    <s v="2012-11-30 00:00:00.000"/>
    <n v="203646.88369799999"/>
    <x v="66"/>
    <n v="329000"/>
    <n v="-35353.116302000002"/>
    <n v="85.207901000000007"/>
    <n v="21"/>
    <s v="Comparable period"/>
    <x v="1"/>
    <s v="No major change flagged"/>
  </r>
  <r>
    <n v="289"/>
    <s v="Jae Pak"/>
    <s v="United Kingdom"/>
    <x v="1"/>
    <x v="2"/>
    <s v="2012-11-30 00:00:00.000"/>
    <n v="899969.65474899998"/>
    <x v="67"/>
    <n v="1262000"/>
    <n v="-38030.345250999999"/>
    <n v="95.945592000000005"/>
    <n v="45"/>
    <s v="Comparable period"/>
    <x v="1"/>
    <s v="No major change flagged"/>
  </r>
  <r>
    <n v="277"/>
    <s v="Jillian Carson"/>
    <s v="Central"/>
    <x v="1"/>
    <x v="2"/>
    <s v="2012-11-30 00:00:00.000"/>
    <n v="929277.84989700001"/>
    <x v="68"/>
    <n v="1352000"/>
    <n v="90277.849896999993"/>
    <n v="110.760172"/>
    <n v="50"/>
    <s v="Comparable period"/>
    <x v="1"/>
    <s v="No major change flagged"/>
  </r>
  <r>
    <n v="282"/>
    <s v="José Saraiva"/>
    <s v="Canada"/>
    <x v="1"/>
    <x v="2"/>
    <s v="2012-11-30 00:00:00.000"/>
    <n v="324061.54822499998"/>
    <x v="69"/>
    <n v="452000"/>
    <n v="36061.548224999999"/>
    <n v="112.52137"/>
    <n v="16"/>
    <s v="Comparable period"/>
    <x v="1"/>
    <s v="No major change flagged"/>
  </r>
  <r>
    <n v="276"/>
    <s v="Linda Mitchell"/>
    <s v="Southwest"/>
    <x v="1"/>
    <x v="2"/>
    <s v="2012-11-30 00:00:00.000"/>
    <n v="877752.70708700002"/>
    <x v="70"/>
    <n v="1009000"/>
    <n v="17752.707086999999"/>
    <n v="102.064268"/>
    <n v="41"/>
    <s v="Comparable period"/>
    <x v="1"/>
    <s v="No major change flagged"/>
  </r>
  <r>
    <n v="275"/>
    <s v="Michael Blythe"/>
    <s v="Northeast"/>
    <x v="1"/>
    <x v="2"/>
    <s v="2012-11-30 00:00:00.000"/>
    <n v="644959.22270599997"/>
    <x v="71"/>
    <n v="1324000"/>
    <n v="-84040.777294"/>
    <n v="88.471772000000001"/>
    <n v="30"/>
    <s v="Comparable period"/>
    <x v="1"/>
    <s v="No major change flagged"/>
  </r>
  <r>
    <n v="280"/>
    <s v="Pamela Ansman-Wolfe"/>
    <s v="Northwest"/>
    <x v="1"/>
    <x v="2"/>
    <s v="2012-11-30 00:00:00.000"/>
    <n v="118845.810052"/>
    <x v="72"/>
    <n v="226000"/>
    <n v="-71154.189947999999"/>
    <n v="62.550426000000002"/>
    <n v="3"/>
    <s v="Comparable period"/>
    <x v="1"/>
    <s v="No major change flagged"/>
  </r>
  <r>
    <n v="290"/>
    <s v="Ranjit Varkey Chudukatil"/>
    <s v="France"/>
    <x v="1"/>
    <x v="2"/>
    <s v="2012-11-30 00:00:00.000"/>
    <n v="235953.79889999999"/>
    <x v="73"/>
    <n v="409000"/>
    <n v="18953.798900000002"/>
    <n v="108.734469"/>
    <n v="14"/>
    <s v="Comparable period"/>
    <x v="1"/>
    <s v="No major change flagged"/>
  </r>
  <r>
    <n v="281"/>
    <s v="Shu Ito"/>
    <s v="Southwest"/>
    <x v="1"/>
    <x v="2"/>
    <s v="2012-11-30 00:00:00.000"/>
    <n v="524738.98985999997"/>
    <x v="74"/>
    <n v="813000"/>
    <n v="54738.989860000001"/>
    <n v="111.646593"/>
    <n v="20"/>
    <s v="Comparable period"/>
    <x v="1"/>
    <s v="No major change flagged"/>
  </r>
  <r>
    <n v="274"/>
    <s v="Stephen Jiang"/>
    <s v="Unassigned"/>
    <x v="1"/>
    <x v="2"/>
    <s v="2012-11-30 00:00:00.000"/>
    <n v="177296.20088300001"/>
    <x v="75"/>
    <n v="154000"/>
    <n v="70296.200882999998"/>
    <n v="165.697384"/>
    <n v="3"/>
    <s v="Comparable period"/>
    <x v="1"/>
    <s v="No major change flagged"/>
  </r>
  <r>
    <n v="284"/>
    <s v="Tete Mensa-Annan"/>
    <s v="Northwest"/>
    <x v="1"/>
    <x v="2"/>
    <s v="2012-11-30 00:00:00.000"/>
    <n v="219851.21739999999"/>
    <x v="76"/>
    <n v="321000"/>
    <n v="-61148.782599999999"/>
    <n v="78.238866999999999"/>
    <n v="16"/>
    <s v="Comparable period"/>
    <x v="1"/>
    <s v="No major change flagged"/>
  </r>
  <r>
    <n v="279"/>
    <s v="Tsvi Reiter"/>
    <s v="Southeast"/>
    <x v="1"/>
    <x v="2"/>
    <s v="2012-11-30 00:00:00.000"/>
    <n v="486127.50429200003"/>
    <x v="77"/>
    <n v="647000"/>
    <n v="-84872.495708000002"/>
    <n v="85.136165000000005"/>
    <n v="34"/>
    <s v="Comparable period"/>
    <x v="1"/>
    <s v="No major change flagged"/>
  </r>
  <r>
    <n v="287"/>
    <s v="Amy Alberts"/>
    <s v="Unassigned"/>
    <x v="2"/>
    <x v="3"/>
    <s v="2013-02-28 00:00:00.000"/>
    <n v="45458.3433"/>
    <x v="78"/>
    <n v="33000"/>
    <n v="-64541.6567"/>
    <n v="41.325766000000002"/>
    <n v="3"/>
    <s v="Comparable period"/>
    <x v="1"/>
    <s v="No major change flagged"/>
  </r>
  <r>
    <n v="283"/>
    <s v="David Campbell"/>
    <s v="Northwest"/>
    <x v="2"/>
    <x v="3"/>
    <s v="2013-02-28 00:00:00.000"/>
    <n v="266073.14538100001"/>
    <x v="79"/>
    <n v="151000"/>
    <n v="-17926.854619000002"/>
    <n v="93.687726999999995"/>
    <n v="16"/>
    <s v="Comparable period"/>
    <x v="1"/>
    <s v="No major change flagged"/>
  </r>
  <r>
    <n v="278"/>
    <s v="Garrett Vargas"/>
    <s v="Canada"/>
    <x v="2"/>
    <x v="3"/>
    <s v="2013-02-28 00:00:00.000"/>
    <n v="291333.15585099999"/>
    <x v="80"/>
    <n v="239000"/>
    <n v="-126666.844149"/>
    <n v="69.696927000000002"/>
    <n v="19"/>
    <s v="Comparable period"/>
    <x v="1"/>
    <s v="No major change flagged"/>
  </r>
  <r>
    <n v="289"/>
    <s v="Jae Pak"/>
    <s v="United Kingdom"/>
    <x v="2"/>
    <x v="3"/>
    <s v="2013-02-28 00:00:00.000"/>
    <n v="1009427.290356"/>
    <x v="81"/>
    <n v="938000"/>
    <n v="-269572.70964399999"/>
    <n v="78.923164999999997"/>
    <n v="39"/>
    <s v="Comparable period"/>
    <x v="1"/>
    <s v="No major change flagged"/>
  </r>
  <r>
    <n v="277"/>
    <s v="Jillian Carson"/>
    <s v="Central"/>
    <x v="2"/>
    <x v="3"/>
    <s v="2013-02-28 00:00:00.000"/>
    <n v="970385.395303"/>
    <x v="82"/>
    <n v="839000"/>
    <n v="-398614.604697"/>
    <n v="70.88279"/>
    <n v="44"/>
    <s v="Comparable period"/>
    <x v="1"/>
    <s v="No major change flagged"/>
  </r>
  <r>
    <n v="282"/>
    <s v="José Saraiva"/>
    <s v="Canada"/>
    <x v="2"/>
    <x v="3"/>
    <s v="2013-02-28 00:00:00.000"/>
    <n v="231990.92940399999"/>
    <x v="83"/>
    <n v="288000"/>
    <n v="-15009.070596"/>
    <n v="93.923452999999995"/>
    <n v="14"/>
    <s v="Comparable period"/>
    <x v="1"/>
    <s v="No major change flagged"/>
  </r>
  <r>
    <n v="276"/>
    <s v="Linda Mitchell"/>
    <s v="Southwest"/>
    <x v="2"/>
    <x v="3"/>
    <s v="2013-02-28 00:00:00.000"/>
    <n v="867853.025517"/>
    <x v="84"/>
    <n v="860000"/>
    <n v="-153146.974483"/>
    <n v="85.000296000000006"/>
    <n v="42"/>
    <s v="Comparable period"/>
    <x v="1"/>
    <s v="No major change flagged"/>
  </r>
  <r>
    <n v="275"/>
    <s v="Michael Blythe"/>
    <s v="Northeast"/>
    <x v="2"/>
    <x v="3"/>
    <s v="2013-02-28 00:00:00.000"/>
    <n v="951855.74982699996"/>
    <x v="85"/>
    <n v="729000"/>
    <n v="-242144.25017300001"/>
    <n v="79.719911999999994"/>
    <n v="42"/>
    <s v="Comparable period"/>
    <x v="1"/>
    <s v="No major change flagged"/>
  </r>
  <r>
    <n v="280"/>
    <s v="Pamela Ansman-Wolfe"/>
    <s v="Northwest"/>
    <x v="2"/>
    <x v="3"/>
    <s v="2013-02-28 00:00:00.000"/>
    <n v="83579.749299999996"/>
    <x v="86"/>
    <n v="190000"/>
    <n v="-140420.2507"/>
    <n v="37.312387999999999"/>
    <n v="3"/>
    <s v="Comparable period"/>
    <x v="1"/>
    <s v="No major change flagged"/>
  </r>
  <r>
    <n v="290"/>
    <s v="Ranjit Varkey Chudukatil"/>
    <s v="France"/>
    <x v="2"/>
    <x v="3"/>
    <s v="2013-02-28 00:00:00.000"/>
    <n v="304924.62437999999"/>
    <x v="87"/>
    <n v="217000"/>
    <n v="-99075.375620000006"/>
    <n v="75.476392000000004"/>
    <n v="16"/>
    <s v="Comparable period"/>
    <x v="1"/>
    <s v="No major change flagged"/>
  </r>
  <r>
    <n v="281"/>
    <s v="Shu Ito"/>
    <s v="Southwest"/>
    <x v="2"/>
    <x v="3"/>
    <s v="2013-02-28 00:00:00.000"/>
    <n v="468606.86293599999"/>
    <x v="88"/>
    <n v="470000"/>
    <n v="-86393.137063999995"/>
    <n v="84.433667999999997"/>
    <n v="19"/>
    <s v="Comparable period"/>
    <x v="1"/>
    <s v="No major change flagged"/>
  </r>
  <r>
    <n v="274"/>
    <s v="Stephen Jiang"/>
    <s v="Unassigned"/>
    <x v="2"/>
    <x v="3"/>
    <s v="2013-02-28 00:00:00.000"/>
    <n v="48509.512349999997"/>
    <x v="89"/>
    <n v="107000"/>
    <n v="-9490.4876499999991"/>
    <n v="83.637090000000001"/>
    <n v="3"/>
    <s v="Comparable period"/>
    <x v="1"/>
    <s v="No major change flagged"/>
  </r>
  <r>
    <n v="284"/>
    <s v="Tete Mensa-Annan"/>
    <s v="Northwest"/>
    <x v="2"/>
    <x v="3"/>
    <s v="2013-02-28 00:00:00.000"/>
    <n v="258864.294604"/>
    <x v="90"/>
    <n v="281000"/>
    <n v="-45135.705395999998"/>
    <n v="85.152727999999996"/>
    <n v="16"/>
    <s v="Comparable period"/>
    <x v="1"/>
    <s v="No major change flagged"/>
  </r>
  <r>
    <n v="279"/>
    <s v="Tsvi Reiter"/>
    <s v="Southeast"/>
    <x v="2"/>
    <x v="3"/>
    <s v="2013-02-28 00:00:00.000"/>
    <n v="511124.11680999998"/>
    <x v="91"/>
    <n v="571000"/>
    <n v="-60875.88319"/>
    <n v="89.357363000000007"/>
    <n v="38"/>
    <s v="Comparable period"/>
    <x v="1"/>
    <s v="No major change flagged"/>
  </r>
  <r>
    <n v="287"/>
    <s v="Amy Alberts"/>
    <s v="Unassigned"/>
    <x v="2"/>
    <x v="0"/>
    <s v="2013-05-30 00:00:00.000"/>
    <n v="161203.65286900001"/>
    <x v="92"/>
    <n v="110000"/>
    <n v="-22796.347130999999"/>
    <n v="87.610680000000002"/>
    <n v="8"/>
    <s v="Comparable period"/>
    <x v="1"/>
    <s v="No major change flagged"/>
  </r>
  <r>
    <n v="283"/>
    <s v="David Campbell"/>
    <s v="Northwest"/>
    <x v="2"/>
    <x v="0"/>
    <s v="2013-05-30 00:00:00.000"/>
    <n v="358328.98625999998"/>
    <x v="93"/>
    <n v="284000"/>
    <n v="-272671.01374000002"/>
    <n v="56.787478"/>
    <n v="14"/>
    <s v="Comparable period"/>
    <x v="1"/>
    <s v="No major change flagged"/>
  </r>
  <r>
    <n v="278"/>
    <s v="Garrett Vargas"/>
    <s v="Canada"/>
    <x v="2"/>
    <x v="0"/>
    <s v="2013-05-30 00:00:00.000"/>
    <n v="367732.46363399999"/>
    <x v="94"/>
    <n v="418000"/>
    <n v="-139267.53636599999"/>
    <n v="72.531057000000004"/>
    <n v="21"/>
    <s v="Comparable period"/>
    <x v="1"/>
    <s v="No major change flagged"/>
  </r>
  <r>
    <n v="289"/>
    <s v="Jae Pak"/>
    <s v="United Kingdom"/>
    <x v="2"/>
    <x v="0"/>
    <s v="2013-05-30 00:00:00.000"/>
    <n v="1127946.7737420001"/>
    <x v="95"/>
    <n v="1279000"/>
    <n v="-378053.22625800001"/>
    <n v="74.896863999999994"/>
    <n v="40"/>
    <s v="Comparable period"/>
    <x v="1"/>
    <s v="No major change flagged"/>
  </r>
  <r>
    <n v="277"/>
    <s v="Jillian Carson"/>
    <s v="Central"/>
    <x v="2"/>
    <x v="0"/>
    <s v="2013-05-30 00:00:00.000"/>
    <n v="884285.30626400001"/>
    <x v="96"/>
    <n v="1369000"/>
    <n v="-286714.69373599999"/>
    <n v="75.515396999999993"/>
    <n v="46"/>
    <s v="Comparable period"/>
    <x v="1"/>
    <s v="No major change flagged"/>
  </r>
  <r>
    <n v="282"/>
    <s v="José Saraiva"/>
    <s v="Canada"/>
    <x v="2"/>
    <x v="0"/>
    <s v="2013-05-30 00:00:00.000"/>
    <n v="424325.98843099998"/>
    <x v="97"/>
    <n v="247000"/>
    <n v="-626674.01156899997"/>
    <n v="40.373547000000002"/>
    <n v="21"/>
    <s v="Comparable period"/>
    <x v="1"/>
    <s v="No major change flagged"/>
  </r>
  <r>
    <n v="276"/>
    <s v="Linda Mitchell"/>
    <s v="Southwest"/>
    <x v="2"/>
    <x v="0"/>
    <s v="2013-05-30 00:00:00.000"/>
    <n v="1230961.5550599999"/>
    <x v="98"/>
    <n v="1021000"/>
    <n v="-294038.44494000002"/>
    <n v="80.718789999999998"/>
    <n v="36"/>
    <s v="Comparable period"/>
    <x v="1"/>
    <s v="No major change flagged"/>
  </r>
  <r>
    <n v="286"/>
    <s v="Lynn Tsoflias"/>
    <s v="Australia"/>
    <x v="2"/>
    <x v="0"/>
    <s v="2013-05-30 00:00:00.000"/>
    <n v="184105.69601399999"/>
    <x v="99"/>
    <s v="NULL"/>
    <n v="-293894.30398600001"/>
    <n v="38.515835000000003"/>
    <n v="17"/>
    <s v="Comparable period"/>
    <x v="1"/>
    <s v="No prior quota"/>
  </r>
  <r>
    <n v="275"/>
    <s v="Michael Blythe"/>
    <s v="Northeast"/>
    <x v="2"/>
    <x v="0"/>
    <s v="2013-05-30 00:00:00.000"/>
    <n v="1025678.799838"/>
    <x v="100"/>
    <n v="1194000"/>
    <n v="-549321.20016200002"/>
    <n v="65.122462999999996"/>
    <n v="43"/>
    <s v="Comparable period"/>
    <x v="1"/>
    <s v="No major change flagged"/>
  </r>
  <r>
    <n v="280"/>
    <s v="Pamela Ansman-Wolfe"/>
    <s v="Northwest"/>
    <x v="2"/>
    <x v="0"/>
    <s v="2013-05-30 00:00:00.000"/>
    <n v="204957.76534700001"/>
    <x v="101"/>
    <n v="224000"/>
    <n v="-114042.23465300001"/>
    <n v="64.250083000000004"/>
    <n v="4"/>
    <s v="Comparable period"/>
    <x v="1"/>
    <s v="No major change flagged"/>
  </r>
  <r>
    <n v="288"/>
    <s v="Rachel Valdez"/>
    <s v="Germany"/>
    <x v="2"/>
    <x v="0"/>
    <s v="2013-05-30 00:00:00.000"/>
    <n v="371973.19667600002"/>
    <x v="102"/>
    <s v="NULL"/>
    <n v="-356026.80332399998"/>
    <n v="51.095219"/>
    <n v="21"/>
    <s v="Comparable period"/>
    <x v="1"/>
    <s v="No prior quota"/>
  </r>
  <r>
    <n v="290"/>
    <s v="Ranjit Varkey Chudukatil"/>
    <s v="France"/>
    <x v="2"/>
    <x v="0"/>
    <s v="2013-05-30 00:00:00.000"/>
    <n v="829395.81539"/>
    <x v="54"/>
    <n v="404000"/>
    <n v="-432604.18461"/>
    <n v="65.720746000000005"/>
    <n v="24"/>
    <s v="Comparable period"/>
    <x v="1"/>
    <s v="No major change flagged"/>
  </r>
  <r>
    <n v="281"/>
    <s v="Shu Ito"/>
    <s v="Southwest"/>
    <x v="2"/>
    <x v="0"/>
    <s v="2013-05-30 00:00:00.000"/>
    <n v="721510.35354899999"/>
    <x v="103"/>
    <n v="555000"/>
    <n v="-213489.64645100001"/>
    <n v="77.166882000000001"/>
    <n v="26"/>
    <s v="Comparable period"/>
    <x v="1"/>
    <s v="No major change flagged"/>
  </r>
  <r>
    <n v="274"/>
    <s v="Stephen Jiang"/>
    <s v="Unassigned"/>
    <x v="2"/>
    <x v="0"/>
    <s v="2013-05-30 00:00:00.000"/>
    <n v="130892.575742"/>
    <x v="104"/>
    <n v="58000"/>
    <n v="-132107.42425800001"/>
    <n v="49.769039999999997"/>
    <n v="4"/>
    <s v="Comparable period"/>
    <x v="1"/>
    <s v="No major change flagged"/>
  </r>
  <r>
    <n v="285"/>
    <s v="Syed Abbas"/>
    <s v="Unassigned"/>
    <x v="2"/>
    <x v="0"/>
    <s v="2013-05-30 00:00:00.000"/>
    <n v="0"/>
    <x v="105"/>
    <s v="NULL"/>
    <n v="-132000"/>
    <n v="0"/>
    <n v="0"/>
    <s v="No attributed sales"/>
    <x v="1"/>
    <s v="No prior quota"/>
  </r>
  <r>
    <n v="284"/>
    <s v="Tete Mensa-Annan"/>
    <s v="Northwest"/>
    <x v="2"/>
    <x v="0"/>
    <s v="2013-05-30 00:00:00.000"/>
    <n v="258495.641431"/>
    <x v="106"/>
    <n v="304000"/>
    <n v="-257504.358569"/>
    <n v="50.096054000000002"/>
    <n v="18"/>
    <s v="Comparable period"/>
    <x v="1"/>
    <s v="No major change flagged"/>
  </r>
  <r>
    <n v="279"/>
    <s v="Tsvi Reiter"/>
    <s v="Southeast"/>
    <x v="2"/>
    <x v="0"/>
    <s v="2013-05-30 00:00:00.000"/>
    <n v="594429.61442700005"/>
    <x v="107"/>
    <n v="572000"/>
    <n v="-355570.38557300001"/>
    <n v="62.571537999999997"/>
    <n v="40"/>
    <s v="Comparable period"/>
    <x v="1"/>
    <s v="No major change flagged"/>
  </r>
  <r>
    <n v="287"/>
    <s v="Amy Alberts"/>
    <s v="Unassigned"/>
    <x v="2"/>
    <x v="1"/>
    <s v="2013-08-30 00:00:00.000"/>
    <n v="90221.761050000001"/>
    <x v="108"/>
    <n v="184000"/>
    <n v="-233778.23895"/>
    <n v="27.846222000000001"/>
    <n v="8"/>
    <s v="Comparable period"/>
    <x v="1"/>
    <s v="No major change flagged"/>
  </r>
  <r>
    <n v="283"/>
    <s v="David Campbell"/>
    <s v="Northwest"/>
    <x v="2"/>
    <x v="1"/>
    <s v="2013-08-30 00:00:00.000"/>
    <n v="398257.98922400002"/>
    <x v="109"/>
    <n v="631000"/>
    <n v="26257.989224000001"/>
    <n v="107.058599"/>
    <n v="20"/>
    <s v="Comparable period"/>
    <x v="1"/>
    <s v="No major change flagged"/>
  </r>
  <r>
    <n v="278"/>
    <s v="Garrett Vargas"/>
    <s v="Canada"/>
    <x v="2"/>
    <x v="1"/>
    <s v="2013-08-30 00:00:00.000"/>
    <n v="393787.523094"/>
    <x v="110"/>
    <n v="507000"/>
    <n v="-59212.476906000004"/>
    <n v="86.928813000000005"/>
    <n v="25"/>
    <s v="Comparable period"/>
    <x v="1"/>
    <s v="No major change flagged"/>
  </r>
  <r>
    <n v="289"/>
    <s v="Jae Pak"/>
    <s v="United Kingdom"/>
    <x v="2"/>
    <x v="1"/>
    <s v="2013-08-30 00:00:00.000"/>
    <n v="1034043.925238"/>
    <x v="111"/>
    <n v="1506000"/>
    <n v="-384956.074762"/>
    <n v="72.871312000000003"/>
    <n v="46"/>
    <s v="Comparable period"/>
    <x v="1"/>
    <s v="No major change flagged"/>
  </r>
  <r>
    <n v="277"/>
    <s v="Jillian Carson"/>
    <s v="Central"/>
    <x v="2"/>
    <x v="1"/>
    <s v="2013-08-30 00:00:00.000"/>
    <n v="884056.13565399998"/>
    <x v="112"/>
    <n v="1171000"/>
    <n v="-86943.864346000002"/>
    <n v="91.045945000000003"/>
    <n v="46"/>
    <s v="Comparable period"/>
    <x v="1"/>
    <s v="No major change flagged"/>
  </r>
  <r>
    <n v="282"/>
    <s v="José Saraiva"/>
    <s v="Canada"/>
    <x v="2"/>
    <x v="1"/>
    <s v="2013-08-30 00:00:00.000"/>
    <n v="748429.955587"/>
    <x v="113"/>
    <n v="1051000"/>
    <n v="41429.955586999997"/>
    <n v="105.859965"/>
    <n v="28"/>
    <s v="Comparable period"/>
    <x v="1"/>
    <s v="No major change flagged"/>
  </r>
  <r>
    <n v="276"/>
    <s v="Linda Mitchell"/>
    <s v="Southwest"/>
    <x v="2"/>
    <x v="1"/>
    <s v="2013-08-30 00:00:00.000"/>
    <n v="1108320.803055"/>
    <x v="114"/>
    <n v="1525000"/>
    <n v="-167679.196945"/>
    <n v="86.858997000000002"/>
    <n v="43"/>
    <s v="Comparable period"/>
    <x v="1"/>
    <s v="No major change flagged"/>
  </r>
  <r>
    <n v="286"/>
    <s v="Lynn Tsoflias"/>
    <s v="Australia"/>
    <x v="2"/>
    <x v="1"/>
    <s v="2013-08-30 00:00:00.000"/>
    <n v="331559.45873399999"/>
    <x v="115"/>
    <n v="478000"/>
    <n v="-57440.541266"/>
    <n v="85.233794000000003"/>
    <n v="24"/>
    <s v="Comparable period"/>
    <x v="1"/>
    <s v="No major change flagged"/>
  </r>
  <r>
    <n v="275"/>
    <s v="Michael Blythe"/>
    <s v="Northeast"/>
    <x v="2"/>
    <x v="1"/>
    <s v="2013-08-30 00:00:00.000"/>
    <n v="1159160.5968150001"/>
    <x v="116"/>
    <n v="1575000"/>
    <n v="-58839.403185000003"/>
    <n v="95.169178000000002"/>
    <n v="45"/>
    <s v="Comparable period"/>
    <x v="1"/>
    <s v="No major change flagged"/>
  </r>
  <r>
    <n v="280"/>
    <s v="Pamela Ansman-Wolfe"/>
    <s v="Northwest"/>
    <x v="2"/>
    <x v="1"/>
    <s v="2013-08-30 00:00:00.000"/>
    <n v="350716.23102000001"/>
    <x v="117"/>
    <n v="319000"/>
    <n v="-99283.768979999993"/>
    <n v="77.936940000000007"/>
    <n v="6"/>
    <s v="Comparable period"/>
    <x v="1"/>
    <s v="No major change flagged"/>
  </r>
  <r>
    <n v="288"/>
    <s v="Rachel Valdez"/>
    <s v="Germany"/>
    <x v="2"/>
    <x v="1"/>
    <s v="2013-08-30 00:00:00.000"/>
    <n v="508242.77132699999"/>
    <x v="118"/>
    <n v="728000"/>
    <n v="-57757.228672999998"/>
    <n v="89.795541999999998"/>
    <n v="33"/>
    <s v="Comparable period"/>
    <x v="1"/>
    <s v="No major change flagged"/>
  </r>
  <r>
    <n v="290"/>
    <s v="Ranjit Varkey Chudukatil"/>
    <s v="France"/>
    <x v="2"/>
    <x v="1"/>
    <s v="2013-08-30 00:00:00.000"/>
    <n v="864953.57447700005"/>
    <x v="119"/>
    <n v="1262000"/>
    <n v="-192046.42552300001"/>
    <n v="81.83099"/>
    <n v="28"/>
    <s v="Comparable period"/>
    <x v="1"/>
    <s v="No major change flagged"/>
  </r>
  <r>
    <n v="281"/>
    <s v="Shu Ito"/>
    <s v="Southwest"/>
    <x v="2"/>
    <x v="1"/>
    <s v="2013-08-30 00:00:00.000"/>
    <n v="668519.54403400002"/>
    <x v="120"/>
    <n v="935000"/>
    <n v="-15480.455966"/>
    <n v="97.736774999999994"/>
    <n v="26"/>
    <s v="Comparable period"/>
    <x v="1"/>
    <s v="No major change flagged"/>
  </r>
  <r>
    <n v="274"/>
    <s v="Stephen Jiang"/>
    <s v="Unassigned"/>
    <x v="2"/>
    <x v="1"/>
    <s v="2013-08-30 00:00:00.000"/>
    <n v="180871.27629899999"/>
    <x v="121"/>
    <n v="263000"/>
    <n v="64871.276298999997"/>
    <n v="155.92351400000001"/>
    <n v="5"/>
    <s v="Comparable period"/>
    <x v="1"/>
    <s v="No major change flagged"/>
  </r>
  <r>
    <n v="285"/>
    <s v="Syed Abbas"/>
    <s v="Unassigned"/>
    <x v="2"/>
    <x v="1"/>
    <s v="2013-08-30 00:00:00.000"/>
    <n v="114785.81507500001"/>
    <x v="122"/>
    <n v="132000"/>
    <n v="74785.815075000006"/>
    <n v="286.96453700000001"/>
    <n v="7"/>
    <s v="Comparable period"/>
    <x v="1"/>
    <s v="No major change flagged"/>
  </r>
  <r>
    <n v="284"/>
    <s v="Tete Mensa-Annan"/>
    <s v="Northwest"/>
    <x v="2"/>
    <x v="1"/>
    <s v="2013-08-30 00:00:00.000"/>
    <n v="388712.87235299998"/>
    <x v="123"/>
    <n v="516000"/>
    <n v="8712.8723530000007"/>
    <n v="102.292861"/>
    <n v="23"/>
    <s v="Comparable period"/>
    <x v="1"/>
    <s v="No major change flagged"/>
  </r>
  <r>
    <n v="279"/>
    <s v="Tsvi Reiter"/>
    <s v="Southeast"/>
    <x v="2"/>
    <x v="1"/>
    <s v="2013-08-30 00:00:00.000"/>
    <n v="595517.46761599998"/>
    <x v="124"/>
    <n v="950000"/>
    <n v="-79482.532384000006"/>
    <n v="88.224810000000005"/>
    <n v="41"/>
    <s v="Comparable period"/>
    <x v="1"/>
    <s v="No major change flagged"/>
  </r>
  <r>
    <n v="287"/>
    <s v="Amy Alberts"/>
    <s v="Unassigned"/>
    <x v="2"/>
    <x v="2"/>
    <s v="2013-11-30 00:00:00.000"/>
    <n v="263208.027038"/>
    <x v="121"/>
    <n v="324000"/>
    <n v="147208.027038"/>
    <n v="226.903471"/>
    <n v="10"/>
    <s v="Comparable period"/>
    <x v="1"/>
    <s v="No major change flagged"/>
  </r>
  <r>
    <n v="283"/>
    <s v="David Campbell"/>
    <s v="Northwest"/>
    <x v="2"/>
    <x v="2"/>
    <s v="2013-11-30 00:00:00.000"/>
    <n v="328762.24115800002"/>
    <x v="125"/>
    <n v="372000"/>
    <n v="94762.241158000004"/>
    <n v="140.49668399999999"/>
    <n v="22"/>
    <s v="Comparable period"/>
    <x v="1"/>
    <s v="No major change flagged"/>
  </r>
  <r>
    <n v="278"/>
    <s v="Garrett Vargas"/>
    <s v="Canada"/>
    <x v="2"/>
    <x v="2"/>
    <s v="2013-11-30 00:00:00.000"/>
    <n v="336983.66746099998"/>
    <x v="20"/>
    <n v="453000"/>
    <n v="56983.667460999997"/>
    <n v="120.351309"/>
    <n v="24"/>
    <s v="Comparable period"/>
    <x v="1"/>
    <s v="No major change flagged"/>
  </r>
  <r>
    <n v="289"/>
    <s v="Jae Pak"/>
    <s v="United Kingdom"/>
    <x v="2"/>
    <x v="2"/>
    <s v="2013-11-30 00:00:00.000"/>
    <n v="934646.02521999995"/>
    <x v="126"/>
    <n v="1419000"/>
    <n v="51646.025220000003"/>
    <n v="105.84892600000001"/>
    <n v="45"/>
    <s v="Comparable period"/>
    <x v="1"/>
    <s v="No major change flagged"/>
  </r>
  <r>
    <n v="277"/>
    <s v="Jillian Carson"/>
    <s v="Central"/>
    <x v="2"/>
    <x v="2"/>
    <s v="2013-11-30 00:00:00.000"/>
    <n v="658049.43006899999"/>
    <x v="127"/>
    <n v="971000"/>
    <n v="-55950.569930999998"/>
    <n v="92.163785000000004"/>
    <n v="49"/>
    <s v="Comparable period"/>
    <x v="1"/>
    <s v="No major change flagged"/>
  </r>
  <r>
    <n v="282"/>
    <s v="José Saraiva"/>
    <s v="Canada"/>
    <x v="2"/>
    <x v="2"/>
    <s v="2013-11-30 00:00:00.000"/>
    <n v="466137.30854400003"/>
    <x v="128"/>
    <n v="707000"/>
    <n v="-102862.691456"/>
    <n v="81.922197999999995"/>
    <n v="23"/>
    <s v="Comparable period"/>
    <x v="1"/>
    <s v="No major change flagged"/>
  </r>
  <r>
    <n v="276"/>
    <s v="Linda Mitchell"/>
    <s v="Southwest"/>
    <x v="2"/>
    <x v="2"/>
    <s v="2013-11-30 00:00:00.000"/>
    <n v="904159.52171799995"/>
    <x v="129"/>
    <n v="1276000"/>
    <n v="10159.521718"/>
    <n v="101.136411"/>
    <n v="41"/>
    <s v="Comparable period"/>
    <x v="1"/>
    <s v="No major change flagged"/>
  </r>
  <r>
    <n v="286"/>
    <s v="Lynn Tsoflias"/>
    <s v="Australia"/>
    <x v="2"/>
    <x v="2"/>
    <s v="2013-11-30 00:00:00.000"/>
    <n v="320389.968566"/>
    <x v="130"/>
    <n v="389000"/>
    <n v="-78610.031434000004"/>
    <n v="80.298237"/>
    <n v="25"/>
    <s v="Comparable period"/>
    <x v="1"/>
    <s v="No major change flagged"/>
  </r>
  <r>
    <n v="275"/>
    <s v="Michael Blythe"/>
    <s v="Northeast"/>
    <x v="2"/>
    <x v="2"/>
    <s v="2013-11-30 00:00:00.000"/>
    <n v="848679.75297300005"/>
    <x v="131"/>
    <n v="1218000"/>
    <n v="-320.247027"/>
    <n v="99.962278999999995"/>
    <n v="45"/>
    <s v="Comparable period"/>
    <x v="1"/>
    <s v="No major change flagged"/>
  </r>
  <r>
    <n v="280"/>
    <s v="Pamela Ansman-Wolfe"/>
    <s v="Northwest"/>
    <x v="2"/>
    <x v="2"/>
    <s v="2013-11-30 00:00:00.000"/>
    <n v="324166.83478500001"/>
    <x v="132"/>
    <n v="450000"/>
    <n v="-18833.165215000001"/>
    <n v="94.509281000000001"/>
    <n v="6"/>
    <s v="Comparable period"/>
    <x v="1"/>
    <s v="No major change flagged"/>
  </r>
  <r>
    <n v="288"/>
    <s v="Rachel Valdez"/>
    <s v="Germany"/>
    <x v="2"/>
    <x v="2"/>
    <s v="2013-11-30 00:00:00.000"/>
    <n v="365242.81155699998"/>
    <x v="133"/>
    <n v="566000"/>
    <n v="-757.18844300000001"/>
    <n v="99.793116999999995"/>
    <n v="32"/>
    <s v="Comparable period"/>
    <x v="1"/>
    <s v="No major change flagged"/>
  </r>
  <r>
    <n v="290"/>
    <s v="Ranjit Varkey Chudukatil"/>
    <s v="France"/>
    <x v="2"/>
    <x v="2"/>
    <s v="2013-11-30 00:00:00.000"/>
    <n v="646804.39459399995"/>
    <x v="113"/>
    <n v="1057000"/>
    <n v="-60195.605406000002"/>
    <n v="91.485770000000002"/>
    <n v="26"/>
    <s v="Comparable period"/>
    <x v="1"/>
    <s v="No major change flagged"/>
  </r>
  <r>
    <n v="281"/>
    <s v="Shu Ito"/>
    <s v="Southwest"/>
    <x v="2"/>
    <x v="2"/>
    <s v="2013-11-30 00:00:00.000"/>
    <n v="528619.30095299997"/>
    <x v="134"/>
    <n v="684000"/>
    <n v="-85380.699047000002"/>
    <n v="86.094347999999997"/>
    <n v="27"/>
    <s v="Comparable period"/>
    <x v="1"/>
    <s v="No major change flagged"/>
  </r>
  <r>
    <n v="274"/>
    <s v="Stephen Jiang"/>
    <s v="Unassigned"/>
    <x v="2"/>
    <x v="2"/>
    <s v="2013-11-30 00:00:00.000"/>
    <n v="70815.359268"/>
    <x v="135"/>
    <n v="116000"/>
    <n v="-13184.640732"/>
    <n v="84.303999000000005"/>
    <n v="2"/>
    <s v="Comparable period"/>
    <x v="1"/>
    <s v="No major change flagged"/>
  </r>
  <r>
    <n v="285"/>
    <s v="Syed Abbas"/>
    <s v="Unassigned"/>
    <x v="2"/>
    <x v="2"/>
    <s v="2013-11-30 00:00:00.000"/>
    <n v="36471.300000000003"/>
    <x v="18"/>
    <n v="40000"/>
    <n v="29471.3"/>
    <n v="521.01857099999995"/>
    <n v="5"/>
    <s v="Comparable period"/>
    <x v="1"/>
    <s v="Review: quota fell by &gt;80%"/>
  </r>
  <r>
    <n v="284"/>
    <s v="Tete Mensa-Annan"/>
    <s v="Northwest"/>
    <x v="2"/>
    <x v="2"/>
    <s v="2013-11-30 00:00:00.000"/>
    <n v="363836.11512500001"/>
    <x v="136"/>
    <n v="380000"/>
    <n v="-90163.884875000003"/>
    <n v="80.140112999999999"/>
    <n v="25"/>
    <s v="Comparable period"/>
    <x v="1"/>
    <s v="No major change flagged"/>
  </r>
  <r>
    <n v="279"/>
    <s v="Tsvi Reiter"/>
    <s v="Southeast"/>
    <x v="2"/>
    <x v="2"/>
    <s v="2013-11-30 00:00:00.000"/>
    <n v="487011.58196099999"/>
    <x v="137"/>
    <n v="675000"/>
    <n v="-50988.418038999996"/>
    <n v="90.522598000000002"/>
    <n v="40"/>
    <s v="Comparable period"/>
    <x v="1"/>
    <s v="No major change flagged"/>
  </r>
  <r>
    <n v="287"/>
    <s v="Amy Alberts"/>
    <s v="Unassigned"/>
    <x v="3"/>
    <x v="3"/>
    <s v="2014-03-01 00:00:00.000"/>
    <n v="56637.747799999997"/>
    <x v="138"/>
    <n v="116000"/>
    <n v="55637.747799999997"/>
    <n v="5663.7747799999997"/>
    <n v="3"/>
    <s v="Comparable period"/>
    <x v="1"/>
    <s v="Review: quota fell by &gt;80%"/>
  </r>
  <r>
    <n v="283"/>
    <s v="David Campbell"/>
    <s v="Northwest"/>
    <x v="3"/>
    <x v="3"/>
    <s v="2014-03-01 00:00:00.000"/>
    <n v="348514.350515"/>
    <x v="139"/>
    <n v="234000"/>
    <n v="-54485.649485000002"/>
    <n v="86.479986999999994"/>
    <n v="21"/>
    <s v="Comparable period"/>
    <x v="1"/>
    <s v="No major change flagged"/>
  </r>
  <r>
    <n v="278"/>
    <s v="Garrett Vargas"/>
    <s v="Canada"/>
    <x v="3"/>
    <x v="3"/>
    <s v="2014-03-01 00:00:00.000"/>
    <n v="290535.94693400001"/>
    <x v="140"/>
    <n v="280000"/>
    <n v="-99464.053065999993"/>
    <n v="74.496396000000004"/>
    <n v="24"/>
    <s v="Comparable period"/>
    <x v="1"/>
    <s v="No major change flagged"/>
  </r>
  <r>
    <n v="289"/>
    <s v="Jae Pak"/>
    <s v="United Kingdom"/>
    <x v="3"/>
    <x v="3"/>
    <s v="2014-03-01 00:00:00.000"/>
    <n v="943212.53135900002"/>
    <x v="141"/>
    <n v="883000"/>
    <n v="-385787.46864099998"/>
    <n v="70.971597000000003"/>
    <n v="44"/>
    <s v="Comparable period"/>
    <x v="1"/>
    <s v="No major change flagged"/>
  </r>
  <r>
    <n v="277"/>
    <s v="Jillian Carson"/>
    <s v="Central"/>
    <x v="3"/>
    <x v="3"/>
    <s v="2014-03-01 00:00:00.000"/>
    <n v="702107.18518000003"/>
    <x v="142"/>
    <n v="714000"/>
    <n v="-244892.81482"/>
    <n v="74.140146000000001"/>
    <n v="49"/>
    <s v="Comparable period"/>
    <x v="1"/>
    <s v="No major change flagged"/>
  </r>
  <r>
    <n v="282"/>
    <s v="José Saraiva"/>
    <s v="Canada"/>
    <x v="3"/>
    <x v="3"/>
    <s v="2014-03-01 00:00:00.000"/>
    <n v="618831.71902299998"/>
    <x v="143"/>
    <n v="569000"/>
    <n v="-211168.28097699999"/>
    <n v="74.558037999999996"/>
    <n v="29"/>
    <s v="Comparable period"/>
    <x v="1"/>
    <s v="No major change flagged"/>
  </r>
  <r>
    <n v="276"/>
    <s v="Linda Mitchell"/>
    <s v="Southwest"/>
    <x v="3"/>
    <x v="3"/>
    <s v="2014-03-01 00:00:00.000"/>
    <n v="988377.477067"/>
    <x v="144"/>
    <n v="894000"/>
    <n v="-135622.522933"/>
    <n v="87.933938999999995"/>
    <n v="41"/>
    <s v="Comparable period"/>
    <x v="1"/>
    <s v="No major change flagged"/>
  </r>
  <r>
    <n v="286"/>
    <s v="Lynn Tsoflias"/>
    <s v="Australia"/>
    <x v="3"/>
    <x v="3"/>
    <s v="2014-03-01 00:00:00.000"/>
    <n v="358410.81897600001"/>
    <x v="145"/>
    <n v="399000"/>
    <n v="-62589.181023999998"/>
    <n v="85.133211000000003"/>
    <n v="28"/>
    <s v="Comparable period"/>
    <x v="1"/>
    <s v="No major change flagged"/>
  </r>
  <r>
    <n v="275"/>
    <s v="Michael Blythe"/>
    <s v="Northeast"/>
    <x v="3"/>
    <x v="3"/>
    <s v="2014-03-01 00:00:00.000"/>
    <n v="687240.39621299994"/>
    <x v="146"/>
    <n v="849000"/>
    <n v="-181759.603787"/>
    <n v="79.084050000000005"/>
    <n v="43"/>
    <s v="Comparable period"/>
    <x v="1"/>
    <s v="No major change flagged"/>
  </r>
  <r>
    <n v="280"/>
    <s v="Pamela Ansman-Wolfe"/>
    <s v="Northwest"/>
    <x v="3"/>
    <x v="3"/>
    <s v="2014-03-01 00:00:00.000"/>
    <n v="353818.16673200001"/>
    <x v="140"/>
    <n v="343000"/>
    <n v="-36181.833268000002"/>
    <n v="90.722605999999999"/>
    <n v="6"/>
    <s v="Comparable period"/>
    <x v="1"/>
    <s v="No major change flagged"/>
  </r>
  <r>
    <n v="288"/>
    <s v="Rachel Valdez"/>
    <s v="Germany"/>
    <x v="3"/>
    <x v="3"/>
    <s v="2014-03-01 00:00:00.000"/>
    <n v="444621.68518099998"/>
    <x v="147"/>
    <n v="366000"/>
    <n v="-182378.31481899999"/>
    <n v="70.912548999999999"/>
    <n v="32"/>
    <s v="Comparable period"/>
    <x v="1"/>
    <s v="No major change flagged"/>
  </r>
  <r>
    <n v="290"/>
    <s v="Ranjit Varkey Chudukatil"/>
    <s v="France"/>
    <x v="3"/>
    <x v="3"/>
    <s v="2014-03-01 00:00:00.000"/>
    <n v="748282.31467800005"/>
    <x v="148"/>
    <n v="707000"/>
    <n v="-159717.685322"/>
    <n v="82.409946000000005"/>
    <n v="30"/>
    <s v="Comparable period"/>
    <x v="1"/>
    <s v="No major change flagged"/>
  </r>
  <r>
    <n v="281"/>
    <s v="Shu Ito"/>
    <s v="Southwest"/>
    <x v="3"/>
    <x v="3"/>
    <s v="2014-03-01 00:00:00.000"/>
    <n v="557816.476823"/>
    <x v="149"/>
    <n v="614000"/>
    <n v="-166183.523177"/>
    <n v="77.046474000000003"/>
    <n v="26"/>
    <s v="Comparable period"/>
    <x v="1"/>
    <s v="No major change flagged"/>
  </r>
  <r>
    <n v="274"/>
    <s v="Stephen Jiang"/>
    <s v="Unassigned"/>
    <x v="3"/>
    <x v="3"/>
    <s v="2014-03-01 00:00:00.000"/>
    <n v="140931.440508"/>
    <x v="150"/>
    <n v="84000"/>
    <n v="-46068.559492"/>
    <n v="75.364406000000002"/>
    <n v="6"/>
    <s v="Comparable period"/>
    <x v="1"/>
    <s v="No major change flagged"/>
  </r>
  <r>
    <n v="285"/>
    <s v="Syed Abbas"/>
    <s v="Unassigned"/>
    <x v="3"/>
    <x v="3"/>
    <s v="2014-03-01 00:00:00.000"/>
    <n v="17070.222000000002"/>
    <x v="151"/>
    <n v="7000"/>
    <n v="-8929.7780000000002"/>
    <n v="65.654700000000005"/>
    <n v="2"/>
    <s v="Comparable period"/>
    <x v="1"/>
    <s v="No major change flagged"/>
  </r>
  <r>
    <n v="284"/>
    <s v="Tete Mensa-Annan"/>
    <s v="Northwest"/>
    <x v="3"/>
    <x v="3"/>
    <s v="2014-03-01 00:00:00.000"/>
    <n v="457614.17524999997"/>
    <x v="152"/>
    <n v="454000"/>
    <n v="-39385.82475"/>
    <n v="92.075286000000006"/>
    <n v="24"/>
    <s v="Comparable period"/>
    <x v="1"/>
    <s v="No major change flagged"/>
  </r>
  <r>
    <n v="279"/>
    <s v="Tsvi Reiter"/>
    <s v="Southeast"/>
    <x v="3"/>
    <x v="3"/>
    <s v="2014-03-01 00:00:00.000"/>
    <n v="554312.56428799999"/>
    <x v="153"/>
    <n v="538000"/>
    <n v="-131687.43571200001"/>
    <n v="80.803579999999997"/>
    <n v="41"/>
    <s v="Comparable period"/>
    <x v="1"/>
    <s v="No major change flagged"/>
  </r>
  <r>
    <n v="283"/>
    <s v="David Campbell"/>
    <s v="Northwest"/>
    <x v="3"/>
    <x v="0"/>
    <s v="NULL"/>
    <n v="141951.96840000001"/>
    <x v="154"/>
    <s v="NULL"/>
    <s v="NULL"/>
    <s v="NULL"/>
    <n v="5"/>
    <s v="No quota record"/>
    <x v="0"/>
    <s v="NULL"/>
  </r>
  <r>
    <n v="278"/>
    <s v="Garrett Vargas"/>
    <s v="Canada"/>
    <x v="3"/>
    <x v="0"/>
    <s v="NULL"/>
    <n v="145413.00823199999"/>
    <x v="154"/>
    <s v="NULL"/>
    <s v="NULL"/>
    <s v="NULL"/>
    <n v="11"/>
    <s v="No quota record"/>
    <x v="0"/>
    <s v="NULL"/>
  </r>
  <r>
    <n v="289"/>
    <s v="Jae Pak"/>
    <s v="United Kingdom"/>
    <x v="3"/>
    <x v="0"/>
    <s v="NULL"/>
    <n v="439784.05255099997"/>
    <x v="154"/>
    <s v="NULL"/>
    <s v="NULL"/>
    <s v="NULL"/>
    <n v="23"/>
    <s v="No quota record"/>
    <x v="0"/>
    <s v="NULL"/>
  </r>
  <r>
    <n v="277"/>
    <s v="Jillian Carson"/>
    <s v="Central"/>
    <x v="3"/>
    <x v="0"/>
    <s v="NULL"/>
    <n v="337986.22172099998"/>
    <x v="154"/>
    <s v="NULL"/>
    <s v="NULL"/>
    <s v="NULL"/>
    <n v="14"/>
    <s v="No quota record"/>
    <x v="0"/>
    <s v="NULL"/>
  </r>
  <r>
    <n v="282"/>
    <s v="José Saraiva"/>
    <s v="Canada"/>
    <x v="3"/>
    <x v="0"/>
    <s v="NULL"/>
    <n v="425979.108664"/>
    <x v="154"/>
    <s v="NULL"/>
    <s v="NULL"/>
    <s v="NULL"/>
    <n v="14"/>
    <s v="No quota record"/>
    <x v="0"/>
    <s v="NULL"/>
  </r>
  <r>
    <n v="276"/>
    <s v="Linda Mitchell"/>
    <s v="Southwest"/>
    <x v="3"/>
    <x v="0"/>
    <s v="NULL"/>
    <n v="282711.04439400003"/>
    <x v="154"/>
    <s v="NULL"/>
    <s v="NULL"/>
    <s v="NULL"/>
    <n v="18"/>
    <s v="No quota record"/>
    <x v="0"/>
    <s v="NULL"/>
  </r>
  <r>
    <n v="286"/>
    <s v="Lynn Tsoflias"/>
    <s v="Australia"/>
    <x v="3"/>
    <x v="0"/>
    <s v="NULL"/>
    <n v="227344.98155200001"/>
    <x v="154"/>
    <s v="NULL"/>
    <s v="NULL"/>
    <s v="NULL"/>
    <n v="15"/>
    <s v="No quota record"/>
    <x v="0"/>
    <s v="NULL"/>
  </r>
  <r>
    <n v="275"/>
    <s v="Michael Blythe"/>
    <s v="Northeast"/>
    <x v="3"/>
    <x v="0"/>
    <s v="NULL"/>
    <n v="370006.98235900002"/>
    <x v="154"/>
    <s v="NULL"/>
    <s v="NULL"/>
    <s v="NULL"/>
    <n v="19"/>
    <s v="No quota record"/>
    <x v="0"/>
    <s v="NULL"/>
  </r>
  <r>
    <n v="280"/>
    <s v="Pamela Ansman-Wolfe"/>
    <s v="Northwest"/>
    <x v="3"/>
    <x v="0"/>
    <s v="NULL"/>
    <n v="151113.877308"/>
    <x v="154"/>
    <s v="NULL"/>
    <s v="NULL"/>
    <s v="NULL"/>
    <n v="3"/>
    <s v="No quota record"/>
    <x v="0"/>
    <s v="NULL"/>
  </r>
  <r>
    <n v="288"/>
    <s v="Rachel Valdez"/>
    <s v="Germany"/>
    <x v="3"/>
    <x v="0"/>
    <s v="NULL"/>
    <n v="136986.247"/>
    <x v="154"/>
    <s v="NULL"/>
    <s v="NULL"/>
    <s v="NULL"/>
    <n v="12"/>
    <s v="No quota record"/>
    <x v="0"/>
    <s v="NULL"/>
  </r>
  <r>
    <n v="290"/>
    <s v="Ranjit Varkey Chudukatil"/>
    <s v="France"/>
    <x v="3"/>
    <x v="0"/>
    <s v="NULL"/>
    <n v="119236.29929700001"/>
    <x v="154"/>
    <s v="NULL"/>
    <s v="NULL"/>
    <s v="NULL"/>
    <n v="9"/>
    <s v="No quota record"/>
    <x v="0"/>
    <s v="NULL"/>
  </r>
  <r>
    <n v="281"/>
    <s v="Shu Ito"/>
    <s v="Southwest"/>
    <x v="3"/>
    <x v="0"/>
    <s v="NULL"/>
    <n v="220125.1752"/>
    <x v="154"/>
    <s v="NULL"/>
    <s v="NULL"/>
    <s v="NULL"/>
    <n v="11"/>
    <s v="No quota record"/>
    <x v="0"/>
    <s v="NULL"/>
  </r>
  <r>
    <n v="274"/>
    <s v="Stephen Jiang"/>
    <s v="Unassigned"/>
    <x v="3"/>
    <x v="0"/>
    <s v="NULL"/>
    <n v="37652.921999999999"/>
    <x v="154"/>
    <s v="NULL"/>
    <s v="NULL"/>
    <s v="NULL"/>
    <n v="2"/>
    <s v="No quota record"/>
    <x v="0"/>
    <s v="NULL"/>
  </r>
  <r>
    <n v="285"/>
    <s v="Syed Abbas"/>
    <s v="Unassigned"/>
    <x v="3"/>
    <x v="0"/>
    <s v="NULL"/>
    <n v="4197.1139999999996"/>
    <x v="154"/>
    <s v="NULL"/>
    <s v="NULL"/>
    <s v="NULL"/>
    <n v="2"/>
    <s v="No quota record"/>
    <x v="0"/>
    <s v="NULL"/>
  </r>
  <r>
    <n v="284"/>
    <s v="Tete Mensa-Annan"/>
    <s v="Northwest"/>
    <x v="3"/>
    <x v="0"/>
    <s v="NULL"/>
    <n v="143382.995108"/>
    <x v="154"/>
    <s v="NULL"/>
    <s v="NULL"/>
    <s v="NULL"/>
    <n v="10"/>
    <s v="No quota record"/>
    <x v="0"/>
    <s v="NULL"/>
  </r>
  <r>
    <n v="279"/>
    <s v="Tsvi Reiter"/>
    <s v="Southeast"/>
    <x v="3"/>
    <x v="0"/>
    <s v="NULL"/>
    <n v="232891.86455200001"/>
    <x v="154"/>
    <s v="NULL"/>
    <s v="NULL"/>
    <s v="NULL"/>
    <n v="13"/>
    <s v="No quota record"/>
    <x v="0"/>
    <s v="NULL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n v="289"/>
    <x v="0"/>
    <s v="United Kingdom"/>
    <n v="8063554.5928350007"/>
    <n v="10514000"/>
    <n v="8"/>
    <n v="7"/>
    <n v="1"/>
    <n v="-2450445.4071649993"/>
    <n v="0.875"/>
    <n v="0.76693500026964057"/>
  </r>
  <r>
    <n v="277"/>
    <x v="1"/>
    <s v="Central"/>
    <n v="9681121.7621209994"/>
    <n v="11633000"/>
    <n v="11"/>
    <n v="9"/>
    <n v="2"/>
    <n v="-1951878.2378790006"/>
    <n v="0.81818181818181823"/>
    <n v="0.83221196270274211"/>
  </r>
  <r>
    <n v="275"/>
    <x v="2"/>
    <s v="Northeast"/>
    <n v="8860133.0992420018"/>
    <n v="10795000"/>
    <n v="11"/>
    <n v="10"/>
    <n v="1"/>
    <n v="-1934866.9007579982"/>
    <n v="0.90909090909090906"/>
    <n v="0.82076267709513684"/>
  </r>
  <r>
    <n v="281"/>
    <x v="3"/>
    <s v="Southwest"/>
    <n v="6147172.0578890005"/>
    <n v="7344000"/>
    <n v="11"/>
    <n v="8"/>
    <n v="3"/>
    <n v="-1196827.9421109995"/>
    <n v="0.72727272727272729"/>
    <n v="0.83703323228336068"/>
  </r>
  <r>
    <n v="282"/>
    <x v="4"/>
    <s v="Canada"/>
    <n v="5394187.5188810006"/>
    <n v="6573000"/>
    <n v="11"/>
    <n v="8"/>
    <n v="3"/>
    <n v="-1178812.4811189994"/>
    <n v="0.72727272727272729"/>
    <n v="0.82065837804366359"/>
  </r>
  <r>
    <n v="290"/>
    <x v="5"/>
    <s v="France"/>
    <n v="4390652.6314540002"/>
    <n v="5557000"/>
    <n v="8"/>
    <n v="7"/>
    <n v="1"/>
    <n v="-1166347.3685459998"/>
    <n v="0.875"/>
    <n v="0.79011204453014217"/>
  </r>
  <r>
    <n v="276"/>
    <x v="6"/>
    <s v="Southwest"/>
    <n v="10078820.433138998"/>
    <n v="11149000"/>
    <n v="11"/>
    <n v="6"/>
    <n v="5"/>
    <n v="-1070179.5668610018"/>
    <n v="0.54545454545454541"/>
    <n v="0.90401116092375977"/>
  </r>
  <r>
    <n v="279"/>
    <x v="7"/>
    <s v="Southeast"/>
    <n v="6833701.5554889999"/>
    <n v="7872000"/>
    <n v="11"/>
    <n v="9"/>
    <n v="2"/>
    <n v="-1038298.4445110001"/>
    <n v="0.81818181818181823"/>
    <n v="0.86810233174402951"/>
  </r>
  <r>
    <n v="278"/>
    <x v="8"/>
    <s v="Canada"/>
    <n v="3454925.038224"/>
    <n v="4121000"/>
    <n v="11"/>
    <n v="9"/>
    <n v="2"/>
    <n v="-666074.96177599998"/>
    <n v="0.81818181818181823"/>
    <n v="0.83837055040621211"/>
  </r>
  <r>
    <n v="288"/>
    <x v="9"/>
    <s v="Germany"/>
    <n v="1690080.464741"/>
    <n v="2287000"/>
    <n v="4"/>
    <n v="4"/>
    <n v="0"/>
    <n v="-596919.53525900003"/>
    <n v="1"/>
    <n v="0.73899451890730217"/>
  </r>
  <r>
    <n v="284"/>
    <x v="10"/>
    <s v="Northwest"/>
    <n v="2169162.6948389998"/>
    <n v="2753000"/>
    <n v="7"/>
    <n v="6"/>
    <n v="1"/>
    <n v="-583837.30516100023"/>
    <n v="0.8571428571428571"/>
    <n v="0.7879268778928441"/>
  </r>
  <r>
    <n v="286"/>
    <x v="11"/>
    <s v="Australia"/>
    <n v="1194465.9422899999"/>
    <n v="1687000"/>
    <n v="4"/>
    <n v="4"/>
    <n v="0"/>
    <n v="-492534.05771000008"/>
    <n v="1"/>
    <n v="0.70804145956727915"/>
  </r>
  <r>
    <n v="283"/>
    <x v="12"/>
    <s v="Northwest"/>
    <n v="3518520.3840650003"/>
    <n v="3799000"/>
    <n v="11"/>
    <n v="6"/>
    <n v="5"/>
    <n v="-280479.61593499966"/>
    <n v="0.54545454545454541"/>
    <n v="0.92617014584495927"/>
  </r>
  <r>
    <n v="280"/>
    <x v="13"/>
    <s v="Northwest"/>
    <n v="3149556.1078709997"/>
    <n v="3386000"/>
    <n v="11"/>
    <n v="8"/>
    <n v="3"/>
    <n v="-236443.89212900028"/>
    <n v="0.72727272727272729"/>
    <n v="0.93017014408476073"/>
  </r>
  <r>
    <n v="274"/>
    <x v="14"/>
    <s v="Unassigned"/>
    <n v="1054470.93395"/>
    <n v="1277000"/>
    <n v="11"/>
    <n v="7"/>
    <n v="4"/>
    <n v="-222529.06605000002"/>
    <n v="0.63636363636363635"/>
    <n v="0.82574074702427558"/>
  </r>
  <r>
    <n v="287"/>
    <x v="15"/>
    <s v="Unassigned"/>
    <n v="732759.184045"/>
    <n v="876000"/>
    <n v="8"/>
    <n v="6"/>
    <n v="2"/>
    <n v="-143240.815955"/>
    <n v="0.75"/>
    <n v="0.83648308680936079"/>
  </r>
  <r>
    <n v="285"/>
    <x v="16"/>
    <s v="Unassigned"/>
    <n v="168327.33707500002"/>
    <n v="205000"/>
    <n v="4"/>
    <n v="2"/>
    <n v="2"/>
    <n v="-36672.662924999982"/>
    <n v="0.5"/>
    <n v="0.82110896134146349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93">
  <r>
    <n v="283"/>
    <s v="David Campbell"/>
    <s v="Northwest"/>
    <n v="2011"/>
    <n v="2"/>
    <n v="4"/>
    <x v="0"/>
    <n v="3"/>
    <n v="11"/>
    <x v="0"/>
    <x v="0"/>
    <s v="David Campbell"/>
    <s v="Match"/>
  </r>
  <r>
    <n v="283"/>
    <s v="David Campbell"/>
    <s v="Northwest"/>
    <n v="2011"/>
    <n v="2"/>
    <n v="1"/>
    <x v="1"/>
    <n v="4"/>
    <n v="43"/>
    <x v="1"/>
    <x v="0"/>
    <s v="David Campbell"/>
    <s v="Match"/>
  </r>
  <r>
    <n v="283"/>
    <s v="David Campbell"/>
    <s v="Northwest"/>
    <n v="2011"/>
    <n v="2"/>
    <n v="3"/>
    <x v="2"/>
    <n v="3"/>
    <n v="24"/>
    <x v="2"/>
    <x v="0"/>
    <s v="David Campbell"/>
    <s v="Match"/>
  </r>
  <r>
    <n v="283"/>
    <s v="David Campbell"/>
    <s v="Northwest"/>
    <n v="2011"/>
    <n v="2"/>
    <n v="2"/>
    <x v="3"/>
    <n v="2"/>
    <n v="3"/>
    <x v="3"/>
    <x v="0"/>
    <s v="David Campbell"/>
    <s v="Match"/>
  </r>
  <r>
    <n v="278"/>
    <s v="Garrett Vargas"/>
    <s v="Canada"/>
    <n v="2011"/>
    <n v="2"/>
    <n v="4"/>
    <x v="0"/>
    <n v="1"/>
    <n v="3"/>
    <x v="4"/>
    <x v="0"/>
    <s v="Garrett Vargas"/>
    <s v="Match"/>
  </r>
  <r>
    <n v="278"/>
    <s v="Garrett Vargas"/>
    <s v="Canada"/>
    <n v="2011"/>
    <n v="2"/>
    <n v="1"/>
    <x v="1"/>
    <n v="2"/>
    <n v="14"/>
    <x v="5"/>
    <x v="0"/>
    <s v="Garrett Vargas"/>
    <s v="Match"/>
  </r>
  <r>
    <n v="278"/>
    <s v="Garrett Vargas"/>
    <s v="Canada"/>
    <n v="2011"/>
    <n v="2"/>
    <n v="3"/>
    <x v="2"/>
    <n v="2"/>
    <n v="10"/>
    <x v="6"/>
    <x v="0"/>
    <s v="Garrett Vargas"/>
    <s v="Match"/>
  </r>
  <r>
    <n v="278"/>
    <s v="Garrett Vargas"/>
    <s v="Canada"/>
    <n v="2011"/>
    <n v="2"/>
    <n v="2"/>
    <x v="3"/>
    <n v="1"/>
    <n v="2"/>
    <x v="7"/>
    <x v="0"/>
    <s v="Garrett Vargas"/>
    <s v="Match"/>
  </r>
  <r>
    <n v="277"/>
    <s v="Jillian Carson"/>
    <s v="Central"/>
    <n v="2011"/>
    <n v="2"/>
    <n v="4"/>
    <x v="0"/>
    <n v="1"/>
    <n v="6"/>
    <x v="8"/>
    <x v="0"/>
    <s v="Jillian Carson"/>
    <s v="Match"/>
  </r>
  <r>
    <n v="277"/>
    <s v="Jillian Carson"/>
    <s v="Central"/>
    <n v="2011"/>
    <n v="2"/>
    <n v="1"/>
    <x v="1"/>
    <n v="4"/>
    <n v="65"/>
    <x v="9"/>
    <x v="0"/>
    <s v="Jillian Carson"/>
    <s v="Match"/>
  </r>
  <r>
    <n v="277"/>
    <s v="Jillian Carson"/>
    <s v="Central"/>
    <n v="2011"/>
    <n v="2"/>
    <n v="3"/>
    <x v="2"/>
    <n v="2"/>
    <n v="8"/>
    <x v="10"/>
    <x v="0"/>
    <s v="Jillian Carson"/>
    <s v="Match"/>
  </r>
  <r>
    <n v="277"/>
    <s v="Jillian Carson"/>
    <s v="Central"/>
    <n v="2011"/>
    <n v="2"/>
    <n v="2"/>
    <x v="3"/>
    <n v="2"/>
    <n v="16"/>
    <x v="11"/>
    <x v="0"/>
    <s v="Jillian Carson"/>
    <s v="Match"/>
  </r>
  <r>
    <n v="282"/>
    <s v="José Saraiva"/>
    <s v="Canada"/>
    <n v="2011"/>
    <n v="2"/>
    <n v="4"/>
    <x v="0"/>
    <n v="2"/>
    <n v="12"/>
    <x v="12"/>
    <x v="0"/>
    <s v="José Saraiva"/>
    <s v="Match"/>
  </r>
  <r>
    <n v="282"/>
    <s v="José Saraiva"/>
    <s v="Canada"/>
    <n v="2011"/>
    <n v="2"/>
    <n v="1"/>
    <x v="1"/>
    <n v="5"/>
    <n v="107"/>
    <x v="13"/>
    <x v="0"/>
    <s v="José Saraiva"/>
    <s v="Match"/>
  </r>
  <r>
    <n v="282"/>
    <s v="José Saraiva"/>
    <s v="Canada"/>
    <n v="2011"/>
    <n v="2"/>
    <n v="3"/>
    <x v="2"/>
    <n v="3"/>
    <n v="31"/>
    <x v="14"/>
    <x v="0"/>
    <s v="José Saraiva"/>
    <s v="Match"/>
  </r>
  <r>
    <n v="282"/>
    <s v="José Saraiva"/>
    <s v="Canada"/>
    <n v="2011"/>
    <n v="2"/>
    <n v="2"/>
    <x v="3"/>
    <n v="3"/>
    <n v="47"/>
    <x v="15"/>
    <x v="0"/>
    <s v="José Saraiva"/>
    <s v="Match"/>
  </r>
  <r>
    <n v="276"/>
    <s v="Linda Mitchell"/>
    <s v="Southwest"/>
    <n v="2011"/>
    <n v="2"/>
    <n v="1"/>
    <x v="1"/>
    <n v="2"/>
    <n v="7"/>
    <x v="16"/>
    <x v="0"/>
    <s v="Linda Mitchell"/>
    <s v="Match"/>
  </r>
  <r>
    <n v="276"/>
    <s v="Linda Mitchell"/>
    <s v="Southwest"/>
    <n v="2011"/>
    <n v="2"/>
    <n v="2"/>
    <x v="3"/>
    <n v="1"/>
    <n v="1"/>
    <x v="17"/>
    <x v="0"/>
    <s v="Linda Mitchell"/>
    <s v="Match"/>
  </r>
  <r>
    <n v="275"/>
    <s v="Michael Blythe"/>
    <s v="Northeast"/>
    <n v="2011"/>
    <n v="2"/>
    <n v="4"/>
    <x v="0"/>
    <n v="2"/>
    <n v="11"/>
    <x v="0"/>
    <x v="0"/>
    <s v="Michael Blythe"/>
    <s v="Match"/>
  </r>
  <r>
    <n v="275"/>
    <s v="Michael Blythe"/>
    <s v="Northeast"/>
    <n v="2011"/>
    <n v="2"/>
    <n v="1"/>
    <x v="1"/>
    <n v="8"/>
    <n v="55"/>
    <x v="18"/>
    <x v="0"/>
    <s v="Michael Blythe"/>
    <s v="Match"/>
  </r>
  <r>
    <n v="275"/>
    <s v="Michael Blythe"/>
    <s v="Northeast"/>
    <n v="2011"/>
    <n v="2"/>
    <n v="3"/>
    <x v="2"/>
    <n v="6"/>
    <n v="25"/>
    <x v="19"/>
    <x v="0"/>
    <s v="Michael Blythe"/>
    <s v="Match"/>
  </r>
  <r>
    <n v="275"/>
    <s v="Michael Blythe"/>
    <s v="Northeast"/>
    <n v="2011"/>
    <n v="2"/>
    <n v="2"/>
    <x v="3"/>
    <n v="2"/>
    <n v="7"/>
    <x v="20"/>
    <x v="0"/>
    <s v="Michael Blythe"/>
    <s v="Match"/>
  </r>
  <r>
    <n v="280"/>
    <s v="Pamela Ansman-Wolfe"/>
    <s v="Northwest"/>
    <n v="2011"/>
    <n v="2"/>
    <n v="1"/>
    <x v="1"/>
    <n v="1"/>
    <n v="12"/>
    <x v="21"/>
    <x v="0"/>
    <s v="Pamela Ansman-Wolfe"/>
    <s v="Match"/>
  </r>
  <r>
    <n v="280"/>
    <s v="Pamela Ansman-Wolfe"/>
    <s v="Northwest"/>
    <n v="2011"/>
    <n v="2"/>
    <n v="3"/>
    <x v="2"/>
    <n v="1"/>
    <n v="2"/>
    <x v="22"/>
    <x v="0"/>
    <s v="Pamela Ansman-Wolfe"/>
    <s v="Match"/>
  </r>
  <r>
    <n v="281"/>
    <s v="Shu Ito"/>
    <s v="Southwest"/>
    <n v="2011"/>
    <n v="2"/>
    <n v="4"/>
    <x v="0"/>
    <n v="3"/>
    <n v="25"/>
    <x v="23"/>
    <x v="0"/>
    <s v="Shu Ito"/>
    <s v="Match"/>
  </r>
  <r>
    <n v="281"/>
    <s v="Shu Ito"/>
    <s v="Southwest"/>
    <n v="2011"/>
    <n v="2"/>
    <n v="1"/>
    <x v="1"/>
    <n v="3"/>
    <n v="77"/>
    <x v="24"/>
    <x v="0"/>
    <s v="Shu Ito"/>
    <s v="Match"/>
  </r>
  <r>
    <n v="281"/>
    <s v="Shu Ito"/>
    <s v="Southwest"/>
    <n v="2011"/>
    <n v="2"/>
    <n v="3"/>
    <x v="2"/>
    <n v="3"/>
    <n v="35"/>
    <x v="25"/>
    <x v="0"/>
    <s v="Shu Ito"/>
    <s v="Match"/>
  </r>
  <r>
    <n v="281"/>
    <s v="Shu Ito"/>
    <s v="Southwest"/>
    <n v="2011"/>
    <n v="2"/>
    <n v="2"/>
    <x v="3"/>
    <n v="3"/>
    <n v="26"/>
    <x v="26"/>
    <x v="0"/>
    <s v="Shu Ito"/>
    <s v="Match"/>
  </r>
  <r>
    <n v="279"/>
    <s v="Tsvi Reiter"/>
    <s v="Southeast"/>
    <n v="2011"/>
    <n v="2"/>
    <n v="4"/>
    <x v="0"/>
    <n v="3"/>
    <n v="16"/>
    <x v="27"/>
    <x v="0"/>
    <s v="Tsvi Reiter"/>
    <s v="Match"/>
  </r>
  <r>
    <n v="279"/>
    <s v="Tsvi Reiter"/>
    <s v="Southeast"/>
    <n v="2011"/>
    <n v="2"/>
    <n v="1"/>
    <x v="1"/>
    <n v="8"/>
    <n v="75"/>
    <x v="28"/>
    <x v="0"/>
    <s v="Tsvi Reiter"/>
    <s v="Match"/>
  </r>
  <r>
    <n v="279"/>
    <s v="Tsvi Reiter"/>
    <s v="Southeast"/>
    <n v="2011"/>
    <n v="2"/>
    <n v="3"/>
    <x v="2"/>
    <n v="4"/>
    <n v="32"/>
    <x v="29"/>
    <x v="0"/>
    <s v="Tsvi Reiter"/>
    <s v="Match"/>
  </r>
  <r>
    <n v="279"/>
    <s v="Tsvi Reiter"/>
    <s v="Southeast"/>
    <n v="2011"/>
    <n v="2"/>
    <n v="2"/>
    <x v="3"/>
    <n v="3"/>
    <n v="12"/>
    <x v="30"/>
    <x v="0"/>
    <s v="Tsvi Reiter"/>
    <s v="Match"/>
  </r>
  <r>
    <n v="283"/>
    <s v="David Campbell"/>
    <s v="Northwest"/>
    <n v="2011"/>
    <n v="3"/>
    <n v="4"/>
    <x v="0"/>
    <n v="3"/>
    <n v="18"/>
    <x v="31"/>
    <x v="1"/>
    <s v="David Campbell"/>
    <s v="Match"/>
  </r>
  <r>
    <n v="283"/>
    <s v="David Campbell"/>
    <s v="Northwest"/>
    <n v="2011"/>
    <n v="3"/>
    <n v="1"/>
    <x v="1"/>
    <n v="9"/>
    <n v="131"/>
    <x v="32"/>
    <x v="1"/>
    <s v="David Campbell"/>
    <s v="Match"/>
  </r>
  <r>
    <n v="283"/>
    <s v="David Campbell"/>
    <s v="Northwest"/>
    <n v="2011"/>
    <n v="3"/>
    <n v="3"/>
    <x v="2"/>
    <n v="6"/>
    <n v="59"/>
    <x v="33"/>
    <x v="1"/>
    <s v="David Campbell"/>
    <s v="Match"/>
  </r>
  <r>
    <n v="283"/>
    <s v="David Campbell"/>
    <s v="Northwest"/>
    <n v="2011"/>
    <n v="3"/>
    <n v="2"/>
    <x v="3"/>
    <n v="4"/>
    <n v="25"/>
    <x v="34"/>
    <x v="1"/>
    <s v="David Campbell"/>
    <s v="Match"/>
  </r>
  <r>
    <n v="278"/>
    <s v="Garrett Vargas"/>
    <s v="Canada"/>
    <n v="2011"/>
    <n v="3"/>
    <n v="4"/>
    <x v="0"/>
    <n v="2"/>
    <n v="26"/>
    <x v="35"/>
    <x v="1"/>
    <s v="Garrett Vargas"/>
    <s v="Match"/>
  </r>
  <r>
    <n v="278"/>
    <s v="Garrett Vargas"/>
    <s v="Canada"/>
    <n v="2011"/>
    <n v="3"/>
    <n v="1"/>
    <x v="1"/>
    <n v="12"/>
    <n v="216"/>
    <x v="36"/>
    <x v="1"/>
    <s v="Garrett Vargas"/>
    <s v="Match"/>
  </r>
  <r>
    <n v="278"/>
    <s v="Garrett Vargas"/>
    <s v="Canada"/>
    <n v="2011"/>
    <n v="3"/>
    <n v="3"/>
    <x v="2"/>
    <n v="9"/>
    <n v="49"/>
    <x v="37"/>
    <x v="1"/>
    <s v="Garrett Vargas"/>
    <s v="Match"/>
  </r>
  <r>
    <n v="278"/>
    <s v="Garrett Vargas"/>
    <s v="Canada"/>
    <n v="2011"/>
    <n v="3"/>
    <n v="2"/>
    <x v="3"/>
    <n v="6"/>
    <n v="48"/>
    <x v="38"/>
    <x v="1"/>
    <s v="Garrett Vargas"/>
    <s v="Match"/>
  </r>
  <r>
    <n v="277"/>
    <s v="Jillian Carson"/>
    <s v="Central"/>
    <n v="2011"/>
    <n v="3"/>
    <n v="4"/>
    <x v="0"/>
    <n v="12"/>
    <n v="78"/>
    <x v="39"/>
    <x v="1"/>
    <s v="Jillian Carson"/>
    <s v="Match"/>
  </r>
  <r>
    <n v="277"/>
    <s v="Jillian Carson"/>
    <s v="Central"/>
    <n v="2011"/>
    <n v="3"/>
    <n v="1"/>
    <x v="1"/>
    <n v="26"/>
    <n v="428"/>
    <x v="40"/>
    <x v="1"/>
    <s v="Jillian Carson"/>
    <s v="Match"/>
  </r>
  <r>
    <n v="277"/>
    <s v="Jillian Carson"/>
    <s v="Central"/>
    <n v="2011"/>
    <n v="3"/>
    <n v="3"/>
    <x v="2"/>
    <n v="22"/>
    <n v="225"/>
    <x v="41"/>
    <x v="1"/>
    <s v="Jillian Carson"/>
    <s v="Match"/>
  </r>
  <r>
    <n v="277"/>
    <s v="Jillian Carson"/>
    <s v="Central"/>
    <n v="2011"/>
    <n v="3"/>
    <n v="2"/>
    <x v="3"/>
    <n v="15"/>
    <n v="111"/>
    <x v="42"/>
    <x v="1"/>
    <s v="Jillian Carson"/>
    <s v="Match"/>
  </r>
  <r>
    <n v="282"/>
    <s v="José Saraiva"/>
    <s v="Canada"/>
    <n v="2011"/>
    <n v="3"/>
    <n v="4"/>
    <x v="0"/>
    <n v="11"/>
    <n v="87"/>
    <x v="43"/>
    <x v="1"/>
    <s v="José Saraiva"/>
    <s v="Match"/>
  </r>
  <r>
    <n v="282"/>
    <s v="José Saraiva"/>
    <s v="Canada"/>
    <n v="2011"/>
    <n v="3"/>
    <n v="1"/>
    <x v="1"/>
    <n v="26"/>
    <n v="416"/>
    <x v="44"/>
    <x v="1"/>
    <s v="José Saraiva"/>
    <s v="Match"/>
  </r>
  <r>
    <n v="282"/>
    <s v="José Saraiva"/>
    <s v="Canada"/>
    <n v="2011"/>
    <n v="3"/>
    <n v="3"/>
    <x v="2"/>
    <n v="14"/>
    <n v="149"/>
    <x v="45"/>
    <x v="1"/>
    <s v="José Saraiva"/>
    <s v="Match"/>
  </r>
  <r>
    <n v="282"/>
    <s v="José Saraiva"/>
    <s v="Canada"/>
    <n v="2011"/>
    <n v="3"/>
    <n v="2"/>
    <x v="3"/>
    <n v="13"/>
    <n v="138"/>
    <x v="46"/>
    <x v="1"/>
    <s v="José Saraiva"/>
    <s v="Match"/>
  </r>
  <r>
    <n v="276"/>
    <s v="Linda Mitchell"/>
    <s v="Southwest"/>
    <n v="2011"/>
    <n v="3"/>
    <n v="4"/>
    <x v="0"/>
    <n v="8"/>
    <n v="52"/>
    <x v="47"/>
    <x v="1"/>
    <s v="Linda Mitchell"/>
    <s v="Match"/>
  </r>
  <r>
    <n v="276"/>
    <s v="Linda Mitchell"/>
    <s v="Southwest"/>
    <n v="2011"/>
    <n v="3"/>
    <n v="1"/>
    <x v="1"/>
    <n v="17"/>
    <n v="275"/>
    <x v="48"/>
    <x v="1"/>
    <s v="Linda Mitchell"/>
    <s v="Match"/>
  </r>
  <r>
    <n v="276"/>
    <s v="Linda Mitchell"/>
    <s v="Southwest"/>
    <n v="2011"/>
    <n v="3"/>
    <n v="3"/>
    <x v="2"/>
    <n v="12"/>
    <n v="102"/>
    <x v="49"/>
    <x v="1"/>
    <s v="Linda Mitchell"/>
    <s v="Match"/>
  </r>
  <r>
    <n v="276"/>
    <s v="Linda Mitchell"/>
    <s v="Southwest"/>
    <n v="2011"/>
    <n v="3"/>
    <n v="2"/>
    <x v="3"/>
    <n v="10"/>
    <n v="81"/>
    <x v="50"/>
    <x v="1"/>
    <s v="Linda Mitchell"/>
    <s v="Match"/>
  </r>
  <r>
    <n v="275"/>
    <s v="Michael Blythe"/>
    <s v="Northeast"/>
    <n v="2011"/>
    <n v="3"/>
    <n v="4"/>
    <x v="0"/>
    <n v="5"/>
    <n v="29"/>
    <x v="51"/>
    <x v="1"/>
    <s v="Michael Blythe"/>
    <s v="Match"/>
  </r>
  <r>
    <n v="275"/>
    <s v="Michael Blythe"/>
    <s v="Northeast"/>
    <n v="2011"/>
    <n v="3"/>
    <n v="1"/>
    <x v="1"/>
    <n v="26"/>
    <n v="375"/>
    <x v="52"/>
    <x v="1"/>
    <s v="Michael Blythe"/>
    <s v="Match"/>
  </r>
  <r>
    <n v="275"/>
    <s v="Michael Blythe"/>
    <s v="Northeast"/>
    <n v="2011"/>
    <n v="3"/>
    <n v="3"/>
    <x v="2"/>
    <n v="19"/>
    <n v="93"/>
    <x v="53"/>
    <x v="1"/>
    <s v="Michael Blythe"/>
    <s v="Match"/>
  </r>
  <r>
    <n v="275"/>
    <s v="Michael Blythe"/>
    <s v="Northeast"/>
    <n v="2011"/>
    <n v="3"/>
    <n v="2"/>
    <x v="3"/>
    <n v="14"/>
    <n v="89"/>
    <x v="54"/>
    <x v="1"/>
    <s v="Michael Blythe"/>
    <s v="Match"/>
  </r>
  <r>
    <n v="280"/>
    <s v="Pamela Ansman-Wolfe"/>
    <s v="Northwest"/>
    <n v="2011"/>
    <n v="3"/>
    <n v="4"/>
    <x v="0"/>
    <n v="5"/>
    <n v="27"/>
    <x v="55"/>
    <x v="1"/>
    <s v="Pamela Ansman-Wolfe"/>
    <s v="Match"/>
  </r>
  <r>
    <n v="280"/>
    <s v="Pamela Ansman-Wolfe"/>
    <s v="Northwest"/>
    <n v="2011"/>
    <n v="3"/>
    <n v="1"/>
    <x v="1"/>
    <n v="9"/>
    <n v="138"/>
    <x v="56"/>
    <x v="1"/>
    <s v="Pamela Ansman-Wolfe"/>
    <s v="Match"/>
  </r>
  <r>
    <n v="280"/>
    <s v="Pamela Ansman-Wolfe"/>
    <s v="Northwest"/>
    <n v="2011"/>
    <n v="3"/>
    <n v="3"/>
    <x v="2"/>
    <n v="8"/>
    <n v="72"/>
    <x v="57"/>
    <x v="1"/>
    <s v="Pamela Ansman-Wolfe"/>
    <s v="Match"/>
  </r>
  <r>
    <n v="280"/>
    <s v="Pamela Ansman-Wolfe"/>
    <s v="Northwest"/>
    <n v="2011"/>
    <n v="3"/>
    <n v="2"/>
    <x v="3"/>
    <n v="6"/>
    <n v="41"/>
    <x v="58"/>
    <x v="1"/>
    <s v="Pamela Ansman-Wolfe"/>
    <s v="Match"/>
  </r>
  <r>
    <n v="281"/>
    <s v="Shu Ito"/>
    <s v="Southwest"/>
    <n v="2011"/>
    <n v="3"/>
    <n v="4"/>
    <x v="0"/>
    <n v="9"/>
    <n v="63"/>
    <x v="59"/>
    <x v="1"/>
    <s v="Shu Ito"/>
    <s v="Match"/>
  </r>
  <r>
    <n v="281"/>
    <s v="Shu Ito"/>
    <s v="Southwest"/>
    <n v="2011"/>
    <n v="3"/>
    <n v="1"/>
    <x v="1"/>
    <n v="15"/>
    <n v="280"/>
    <x v="60"/>
    <x v="1"/>
    <s v="Shu Ito"/>
    <s v="Match"/>
  </r>
  <r>
    <n v="281"/>
    <s v="Shu Ito"/>
    <s v="Southwest"/>
    <n v="2011"/>
    <n v="3"/>
    <n v="3"/>
    <x v="2"/>
    <n v="11"/>
    <n v="99"/>
    <x v="61"/>
    <x v="1"/>
    <s v="Shu Ito"/>
    <s v="Match"/>
  </r>
  <r>
    <n v="281"/>
    <s v="Shu Ito"/>
    <s v="Southwest"/>
    <n v="2011"/>
    <n v="3"/>
    <n v="2"/>
    <x v="3"/>
    <n v="9"/>
    <n v="79"/>
    <x v="62"/>
    <x v="1"/>
    <s v="Shu Ito"/>
    <s v="Match"/>
  </r>
  <r>
    <n v="274"/>
    <s v="Stephen Jiang"/>
    <s v="Unassigned"/>
    <n v="2011"/>
    <n v="3"/>
    <n v="4"/>
    <x v="0"/>
    <n v="1"/>
    <n v="3"/>
    <x v="4"/>
    <x v="2"/>
    <s v="Stephen Jiang"/>
    <s v="Match"/>
  </r>
  <r>
    <n v="274"/>
    <s v="Stephen Jiang"/>
    <s v="Unassigned"/>
    <n v="2011"/>
    <n v="3"/>
    <n v="1"/>
    <x v="1"/>
    <n v="2"/>
    <n v="11"/>
    <x v="63"/>
    <x v="2"/>
    <s v="Stephen Jiang"/>
    <s v="Match"/>
  </r>
  <r>
    <n v="274"/>
    <s v="Stephen Jiang"/>
    <s v="Unassigned"/>
    <n v="2011"/>
    <n v="3"/>
    <n v="3"/>
    <x v="2"/>
    <n v="1"/>
    <n v="5"/>
    <x v="64"/>
    <x v="2"/>
    <s v="Stephen Jiang"/>
    <s v="Match"/>
  </r>
  <r>
    <n v="279"/>
    <s v="Tsvi Reiter"/>
    <s v="Southeast"/>
    <n v="2011"/>
    <n v="3"/>
    <n v="4"/>
    <x v="0"/>
    <n v="11"/>
    <n v="52"/>
    <x v="47"/>
    <x v="1"/>
    <s v="Tsvi Reiter"/>
    <s v="Match"/>
  </r>
  <r>
    <n v="279"/>
    <s v="Tsvi Reiter"/>
    <s v="Southeast"/>
    <n v="2011"/>
    <n v="3"/>
    <n v="1"/>
    <x v="1"/>
    <n v="25"/>
    <n v="388"/>
    <x v="65"/>
    <x v="1"/>
    <s v="Tsvi Reiter"/>
    <s v="Match"/>
  </r>
  <r>
    <n v="279"/>
    <s v="Tsvi Reiter"/>
    <s v="Southeast"/>
    <n v="2011"/>
    <n v="3"/>
    <n v="3"/>
    <x v="2"/>
    <n v="14"/>
    <n v="162"/>
    <x v="66"/>
    <x v="1"/>
    <s v="Tsvi Reiter"/>
    <s v="Match"/>
  </r>
  <r>
    <n v="279"/>
    <s v="Tsvi Reiter"/>
    <s v="Southeast"/>
    <n v="2011"/>
    <n v="3"/>
    <n v="2"/>
    <x v="3"/>
    <n v="16"/>
    <n v="87"/>
    <x v="67"/>
    <x v="1"/>
    <s v="Tsvi Reiter"/>
    <s v="Match"/>
  </r>
  <r>
    <n v="283"/>
    <s v="David Campbell"/>
    <s v="Northwest"/>
    <n v="2011"/>
    <n v="4"/>
    <n v="4"/>
    <x v="0"/>
    <n v="2"/>
    <n v="14"/>
    <x v="68"/>
    <x v="2"/>
    <s v="David Campbell"/>
    <s v="Match"/>
  </r>
  <r>
    <n v="283"/>
    <s v="David Campbell"/>
    <s v="Northwest"/>
    <n v="2011"/>
    <n v="4"/>
    <n v="1"/>
    <x v="1"/>
    <n v="13"/>
    <n v="163"/>
    <x v="69"/>
    <x v="2"/>
    <s v="David Campbell"/>
    <s v="Match"/>
  </r>
  <r>
    <n v="283"/>
    <s v="David Campbell"/>
    <s v="Northwest"/>
    <n v="2011"/>
    <n v="4"/>
    <n v="3"/>
    <x v="2"/>
    <n v="7"/>
    <n v="67"/>
    <x v="70"/>
    <x v="2"/>
    <s v="David Campbell"/>
    <s v="Match"/>
  </r>
  <r>
    <n v="283"/>
    <s v="David Campbell"/>
    <s v="Northwest"/>
    <n v="2011"/>
    <n v="4"/>
    <n v="2"/>
    <x v="3"/>
    <n v="5"/>
    <n v="38"/>
    <x v="71"/>
    <x v="2"/>
    <s v="David Campbell"/>
    <s v="Match"/>
  </r>
  <r>
    <n v="278"/>
    <s v="Garrett Vargas"/>
    <s v="Canada"/>
    <n v="2011"/>
    <n v="4"/>
    <n v="4"/>
    <x v="0"/>
    <n v="3"/>
    <n v="34"/>
    <x v="72"/>
    <x v="1"/>
    <s v="Garrett Vargas"/>
    <s v="Match"/>
  </r>
  <r>
    <n v="278"/>
    <s v="Garrett Vargas"/>
    <s v="Canada"/>
    <n v="2011"/>
    <n v="4"/>
    <n v="1"/>
    <x v="1"/>
    <n v="14"/>
    <n v="243"/>
    <x v="73"/>
    <x v="1"/>
    <s v="Garrett Vargas"/>
    <s v="Match"/>
  </r>
  <r>
    <n v="278"/>
    <s v="Garrett Vargas"/>
    <s v="Canada"/>
    <n v="2011"/>
    <n v="4"/>
    <n v="3"/>
    <x v="2"/>
    <n v="9"/>
    <n v="61"/>
    <x v="74"/>
    <x v="1"/>
    <s v="Garrett Vargas"/>
    <s v="Match"/>
  </r>
  <r>
    <n v="278"/>
    <s v="Garrett Vargas"/>
    <s v="Canada"/>
    <n v="2011"/>
    <n v="4"/>
    <n v="2"/>
    <x v="3"/>
    <n v="7"/>
    <n v="40"/>
    <x v="75"/>
    <x v="1"/>
    <s v="Garrett Vargas"/>
    <s v="Match"/>
  </r>
  <r>
    <n v="277"/>
    <s v="Jillian Carson"/>
    <s v="Central"/>
    <n v="2011"/>
    <n v="4"/>
    <n v="4"/>
    <x v="0"/>
    <n v="13"/>
    <n v="109"/>
    <x v="76"/>
    <x v="1"/>
    <s v="Jillian Carson"/>
    <s v="Match"/>
  </r>
  <r>
    <n v="277"/>
    <s v="Jillian Carson"/>
    <s v="Central"/>
    <n v="2011"/>
    <n v="4"/>
    <n v="1"/>
    <x v="1"/>
    <n v="26"/>
    <n v="637"/>
    <x v="77"/>
    <x v="1"/>
    <s v="Jillian Carson"/>
    <s v="Match"/>
  </r>
  <r>
    <n v="277"/>
    <s v="Jillian Carson"/>
    <s v="Central"/>
    <n v="2011"/>
    <n v="4"/>
    <n v="3"/>
    <x v="2"/>
    <n v="19"/>
    <n v="201"/>
    <x v="78"/>
    <x v="1"/>
    <s v="Jillian Carson"/>
    <s v="Match"/>
  </r>
  <r>
    <n v="277"/>
    <s v="Jillian Carson"/>
    <s v="Central"/>
    <n v="2011"/>
    <n v="4"/>
    <n v="2"/>
    <x v="3"/>
    <n v="19"/>
    <n v="169"/>
    <x v="79"/>
    <x v="1"/>
    <s v="Jillian Carson"/>
    <s v="Match"/>
  </r>
  <r>
    <n v="282"/>
    <s v="José Saraiva"/>
    <s v="Canada"/>
    <n v="2011"/>
    <n v="4"/>
    <n v="4"/>
    <x v="0"/>
    <n v="10"/>
    <n v="103"/>
    <x v="80"/>
    <x v="1"/>
    <s v="José Saraiva"/>
    <s v="Match"/>
  </r>
  <r>
    <n v="282"/>
    <s v="José Saraiva"/>
    <s v="Canada"/>
    <n v="2011"/>
    <n v="4"/>
    <n v="1"/>
    <x v="1"/>
    <n v="23"/>
    <n v="510"/>
    <x v="81"/>
    <x v="1"/>
    <s v="José Saraiva"/>
    <s v="Match"/>
  </r>
  <r>
    <n v="282"/>
    <s v="José Saraiva"/>
    <s v="Canada"/>
    <n v="2011"/>
    <n v="4"/>
    <n v="3"/>
    <x v="2"/>
    <n v="17"/>
    <n v="186"/>
    <x v="82"/>
    <x v="1"/>
    <s v="José Saraiva"/>
    <s v="Match"/>
  </r>
  <r>
    <n v="282"/>
    <s v="José Saraiva"/>
    <s v="Canada"/>
    <n v="2011"/>
    <n v="4"/>
    <n v="2"/>
    <x v="3"/>
    <n v="15"/>
    <n v="110"/>
    <x v="83"/>
    <x v="1"/>
    <s v="José Saraiva"/>
    <s v="Match"/>
  </r>
  <r>
    <n v="276"/>
    <s v="Linda Mitchell"/>
    <s v="Southwest"/>
    <n v="2011"/>
    <n v="4"/>
    <n v="4"/>
    <x v="0"/>
    <n v="10"/>
    <n v="75"/>
    <x v="84"/>
    <x v="2"/>
    <s v="Linda Mitchell"/>
    <s v="Match"/>
  </r>
  <r>
    <n v="276"/>
    <s v="Linda Mitchell"/>
    <s v="Southwest"/>
    <n v="2011"/>
    <n v="4"/>
    <n v="1"/>
    <x v="1"/>
    <n v="25"/>
    <n v="450"/>
    <x v="85"/>
    <x v="2"/>
    <s v="Linda Mitchell"/>
    <s v="Match"/>
  </r>
  <r>
    <n v="276"/>
    <s v="Linda Mitchell"/>
    <s v="Southwest"/>
    <n v="2011"/>
    <n v="4"/>
    <n v="3"/>
    <x v="2"/>
    <n v="15"/>
    <n v="125"/>
    <x v="86"/>
    <x v="2"/>
    <s v="Linda Mitchell"/>
    <s v="Match"/>
  </r>
  <r>
    <n v="276"/>
    <s v="Linda Mitchell"/>
    <s v="Southwest"/>
    <n v="2011"/>
    <n v="4"/>
    <n v="2"/>
    <x v="3"/>
    <n v="14"/>
    <n v="121"/>
    <x v="87"/>
    <x v="2"/>
    <s v="Linda Mitchell"/>
    <s v="Match"/>
  </r>
  <r>
    <n v="275"/>
    <s v="Michael Blythe"/>
    <s v="Northeast"/>
    <n v="2011"/>
    <n v="4"/>
    <n v="4"/>
    <x v="0"/>
    <n v="4"/>
    <n v="33"/>
    <x v="88"/>
    <x v="1"/>
    <s v="Michael Blythe"/>
    <s v="Match"/>
  </r>
  <r>
    <n v="275"/>
    <s v="Michael Blythe"/>
    <s v="Northeast"/>
    <n v="2011"/>
    <n v="4"/>
    <n v="1"/>
    <x v="1"/>
    <n v="28"/>
    <n v="481"/>
    <x v="89"/>
    <x v="1"/>
    <s v="Michael Blythe"/>
    <s v="Match"/>
  </r>
  <r>
    <n v="275"/>
    <s v="Michael Blythe"/>
    <s v="Northeast"/>
    <n v="2011"/>
    <n v="4"/>
    <n v="3"/>
    <x v="2"/>
    <n v="16"/>
    <n v="94"/>
    <x v="90"/>
    <x v="1"/>
    <s v="Michael Blythe"/>
    <s v="Match"/>
  </r>
  <r>
    <n v="275"/>
    <s v="Michael Blythe"/>
    <s v="Northeast"/>
    <n v="2011"/>
    <n v="4"/>
    <n v="2"/>
    <x v="3"/>
    <n v="14"/>
    <n v="102"/>
    <x v="91"/>
    <x v="1"/>
    <s v="Michael Blythe"/>
    <s v="Match"/>
  </r>
  <r>
    <n v="280"/>
    <s v="Pamela Ansman-Wolfe"/>
    <s v="Northwest"/>
    <n v="2011"/>
    <n v="4"/>
    <n v="4"/>
    <x v="0"/>
    <n v="5"/>
    <n v="38"/>
    <x v="92"/>
    <x v="2"/>
    <s v="Pamela Ansman-Wolfe"/>
    <s v="Match"/>
  </r>
  <r>
    <n v="280"/>
    <s v="Pamela Ansman-Wolfe"/>
    <s v="Northwest"/>
    <n v="2011"/>
    <n v="4"/>
    <n v="1"/>
    <x v="1"/>
    <n v="11"/>
    <n v="273"/>
    <x v="93"/>
    <x v="2"/>
    <s v="Pamela Ansman-Wolfe"/>
    <s v="Match"/>
  </r>
  <r>
    <n v="280"/>
    <s v="Pamela Ansman-Wolfe"/>
    <s v="Northwest"/>
    <n v="2011"/>
    <n v="4"/>
    <n v="3"/>
    <x v="2"/>
    <n v="9"/>
    <n v="67"/>
    <x v="94"/>
    <x v="2"/>
    <s v="Pamela Ansman-Wolfe"/>
    <s v="Match"/>
  </r>
  <r>
    <n v="280"/>
    <s v="Pamela Ansman-Wolfe"/>
    <s v="Northwest"/>
    <n v="2011"/>
    <n v="4"/>
    <n v="2"/>
    <x v="3"/>
    <n v="7"/>
    <n v="39"/>
    <x v="95"/>
    <x v="2"/>
    <s v="Pamela Ansman-Wolfe"/>
    <s v="Match"/>
  </r>
  <r>
    <n v="281"/>
    <s v="Shu Ito"/>
    <s v="Southwest"/>
    <n v="2011"/>
    <n v="4"/>
    <n v="4"/>
    <x v="0"/>
    <n v="6"/>
    <n v="66"/>
    <x v="96"/>
    <x v="2"/>
    <s v="Shu Ito"/>
    <s v="Match"/>
  </r>
  <r>
    <n v="281"/>
    <s v="Shu Ito"/>
    <s v="Southwest"/>
    <n v="2011"/>
    <n v="4"/>
    <n v="1"/>
    <x v="1"/>
    <n v="14"/>
    <n v="332"/>
    <x v="97"/>
    <x v="2"/>
    <s v="Shu Ito"/>
    <s v="Match"/>
  </r>
  <r>
    <n v="281"/>
    <s v="Shu Ito"/>
    <s v="Southwest"/>
    <n v="2011"/>
    <n v="4"/>
    <n v="3"/>
    <x v="2"/>
    <n v="12"/>
    <n v="120"/>
    <x v="98"/>
    <x v="2"/>
    <s v="Shu Ito"/>
    <s v="Match"/>
  </r>
  <r>
    <n v="281"/>
    <s v="Shu Ito"/>
    <s v="Southwest"/>
    <n v="2011"/>
    <n v="4"/>
    <n v="2"/>
    <x v="3"/>
    <n v="9"/>
    <n v="91"/>
    <x v="99"/>
    <x v="2"/>
    <s v="Shu Ito"/>
    <s v="Match"/>
  </r>
  <r>
    <n v="274"/>
    <s v="Stephen Jiang"/>
    <s v="Unassigned"/>
    <n v="2011"/>
    <n v="4"/>
    <n v="1"/>
    <x v="1"/>
    <n v="2"/>
    <n v="11"/>
    <x v="100"/>
    <x v="1"/>
    <s v="Stephen Jiang"/>
    <s v="Match"/>
  </r>
  <r>
    <n v="279"/>
    <s v="Tsvi Reiter"/>
    <s v="Southeast"/>
    <n v="2011"/>
    <n v="4"/>
    <n v="4"/>
    <x v="0"/>
    <n v="6"/>
    <n v="41"/>
    <x v="101"/>
    <x v="2"/>
    <s v="Tsvi Reiter"/>
    <s v="Match"/>
  </r>
  <r>
    <n v="279"/>
    <s v="Tsvi Reiter"/>
    <s v="Southeast"/>
    <n v="2011"/>
    <n v="4"/>
    <n v="1"/>
    <x v="1"/>
    <n v="25"/>
    <n v="549"/>
    <x v="102"/>
    <x v="2"/>
    <s v="Tsvi Reiter"/>
    <s v="Match"/>
  </r>
  <r>
    <n v="279"/>
    <s v="Tsvi Reiter"/>
    <s v="Southeast"/>
    <n v="2011"/>
    <n v="4"/>
    <n v="3"/>
    <x v="2"/>
    <n v="18"/>
    <n v="143"/>
    <x v="103"/>
    <x v="2"/>
    <s v="Tsvi Reiter"/>
    <s v="Match"/>
  </r>
  <r>
    <n v="279"/>
    <s v="Tsvi Reiter"/>
    <s v="Southeast"/>
    <n v="2011"/>
    <n v="4"/>
    <n v="2"/>
    <x v="3"/>
    <n v="16"/>
    <n v="124"/>
    <x v="104"/>
    <x v="2"/>
    <s v="Tsvi Reiter"/>
    <s v="Match"/>
  </r>
  <r>
    <n v="283"/>
    <s v="David Campbell"/>
    <s v="Northwest"/>
    <n v="2012"/>
    <n v="1"/>
    <n v="4"/>
    <x v="0"/>
    <n v="3"/>
    <n v="22"/>
    <x v="105"/>
    <x v="2"/>
    <s v="David Campbell"/>
    <s v="Match"/>
  </r>
  <r>
    <n v="283"/>
    <s v="David Campbell"/>
    <s v="Northwest"/>
    <n v="2012"/>
    <n v="1"/>
    <n v="1"/>
    <x v="1"/>
    <n v="13"/>
    <n v="246"/>
    <x v="106"/>
    <x v="2"/>
    <s v="David Campbell"/>
    <s v="Match"/>
  </r>
  <r>
    <n v="283"/>
    <s v="David Campbell"/>
    <s v="Northwest"/>
    <n v="2012"/>
    <n v="1"/>
    <n v="3"/>
    <x v="2"/>
    <n v="8"/>
    <n v="69"/>
    <x v="107"/>
    <x v="2"/>
    <s v="David Campbell"/>
    <s v="Match"/>
  </r>
  <r>
    <n v="283"/>
    <s v="David Campbell"/>
    <s v="Northwest"/>
    <n v="2012"/>
    <n v="1"/>
    <n v="2"/>
    <x v="3"/>
    <n v="7"/>
    <n v="37"/>
    <x v="108"/>
    <x v="2"/>
    <s v="David Campbell"/>
    <s v="Match"/>
  </r>
  <r>
    <n v="278"/>
    <s v="Garrett Vargas"/>
    <s v="Canada"/>
    <n v="2012"/>
    <n v="1"/>
    <n v="4"/>
    <x v="0"/>
    <n v="3"/>
    <n v="45"/>
    <x v="109"/>
    <x v="2"/>
    <s v="Garrett Vargas"/>
    <s v="Match"/>
  </r>
  <r>
    <n v="278"/>
    <s v="Garrett Vargas"/>
    <s v="Canada"/>
    <n v="2012"/>
    <n v="1"/>
    <n v="1"/>
    <x v="1"/>
    <n v="19"/>
    <n v="379"/>
    <x v="110"/>
    <x v="2"/>
    <s v="Garrett Vargas"/>
    <s v="Match"/>
  </r>
  <r>
    <n v="278"/>
    <s v="Garrett Vargas"/>
    <s v="Canada"/>
    <n v="2012"/>
    <n v="1"/>
    <n v="3"/>
    <x v="2"/>
    <n v="10"/>
    <n v="116"/>
    <x v="111"/>
    <x v="2"/>
    <s v="Garrett Vargas"/>
    <s v="Match"/>
  </r>
  <r>
    <n v="278"/>
    <s v="Garrett Vargas"/>
    <s v="Canada"/>
    <n v="2012"/>
    <n v="1"/>
    <n v="2"/>
    <x v="3"/>
    <n v="10"/>
    <n v="79"/>
    <x v="112"/>
    <x v="2"/>
    <s v="Garrett Vargas"/>
    <s v="Match"/>
  </r>
  <r>
    <n v="277"/>
    <s v="Jillian Carson"/>
    <s v="Central"/>
    <n v="2012"/>
    <n v="1"/>
    <n v="4"/>
    <x v="0"/>
    <n v="15"/>
    <n v="103"/>
    <x v="80"/>
    <x v="2"/>
    <s v="Jillian Carson"/>
    <s v="Match"/>
  </r>
  <r>
    <n v="277"/>
    <s v="Jillian Carson"/>
    <s v="Central"/>
    <n v="2012"/>
    <n v="1"/>
    <n v="1"/>
    <x v="1"/>
    <n v="37"/>
    <n v="892"/>
    <x v="113"/>
    <x v="2"/>
    <s v="Jillian Carson"/>
    <s v="Match"/>
  </r>
  <r>
    <n v="277"/>
    <s v="Jillian Carson"/>
    <s v="Central"/>
    <n v="2012"/>
    <n v="1"/>
    <n v="3"/>
    <x v="2"/>
    <n v="24"/>
    <n v="278"/>
    <x v="114"/>
    <x v="2"/>
    <s v="Jillian Carson"/>
    <s v="Match"/>
  </r>
  <r>
    <n v="277"/>
    <s v="Jillian Carson"/>
    <s v="Central"/>
    <n v="2012"/>
    <n v="1"/>
    <n v="2"/>
    <x v="3"/>
    <n v="17"/>
    <n v="129"/>
    <x v="115"/>
    <x v="2"/>
    <s v="Jillian Carson"/>
    <s v="Match"/>
  </r>
  <r>
    <n v="282"/>
    <s v="José Saraiva"/>
    <s v="Canada"/>
    <n v="2012"/>
    <n v="1"/>
    <n v="4"/>
    <x v="0"/>
    <n v="10"/>
    <n v="78"/>
    <x v="39"/>
    <x v="2"/>
    <s v="José Saraiva"/>
    <s v="Match"/>
  </r>
  <r>
    <n v="282"/>
    <s v="José Saraiva"/>
    <s v="Canada"/>
    <n v="2012"/>
    <n v="1"/>
    <n v="1"/>
    <x v="1"/>
    <n v="38"/>
    <n v="719"/>
    <x v="116"/>
    <x v="2"/>
    <s v="José Saraiva"/>
    <s v="Match"/>
  </r>
  <r>
    <n v="282"/>
    <s v="José Saraiva"/>
    <s v="Canada"/>
    <n v="2012"/>
    <n v="1"/>
    <n v="3"/>
    <x v="2"/>
    <n v="22"/>
    <n v="183"/>
    <x v="117"/>
    <x v="2"/>
    <s v="José Saraiva"/>
    <s v="Match"/>
  </r>
  <r>
    <n v="282"/>
    <s v="José Saraiva"/>
    <s v="Canada"/>
    <n v="2012"/>
    <n v="1"/>
    <n v="2"/>
    <x v="3"/>
    <n v="19"/>
    <n v="156"/>
    <x v="118"/>
    <x v="2"/>
    <s v="José Saraiva"/>
    <s v="Match"/>
  </r>
  <r>
    <n v="276"/>
    <s v="Linda Mitchell"/>
    <s v="Southwest"/>
    <n v="2012"/>
    <n v="1"/>
    <n v="4"/>
    <x v="0"/>
    <n v="13"/>
    <n v="91"/>
    <x v="119"/>
    <x v="2"/>
    <s v="Linda Mitchell"/>
    <s v="Match"/>
  </r>
  <r>
    <n v="276"/>
    <s v="Linda Mitchell"/>
    <s v="Southwest"/>
    <n v="2012"/>
    <n v="1"/>
    <n v="1"/>
    <x v="1"/>
    <n v="35"/>
    <n v="677"/>
    <x v="120"/>
    <x v="2"/>
    <s v="Linda Mitchell"/>
    <s v="Match"/>
  </r>
  <r>
    <n v="276"/>
    <s v="Linda Mitchell"/>
    <s v="Southwest"/>
    <n v="2012"/>
    <n v="1"/>
    <n v="3"/>
    <x v="2"/>
    <n v="23"/>
    <n v="218"/>
    <x v="121"/>
    <x v="2"/>
    <s v="Linda Mitchell"/>
    <s v="Match"/>
  </r>
  <r>
    <n v="276"/>
    <s v="Linda Mitchell"/>
    <s v="Southwest"/>
    <n v="2012"/>
    <n v="1"/>
    <n v="2"/>
    <x v="3"/>
    <n v="19"/>
    <n v="102"/>
    <x v="122"/>
    <x v="2"/>
    <s v="Linda Mitchell"/>
    <s v="Match"/>
  </r>
  <r>
    <n v="275"/>
    <s v="Michael Blythe"/>
    <s v="Northeast"/>
    <n v="2012"/>
    <n v="1"/>
    <n v="4"/>
    <x v="0"/>
    <n v="7"/>
    <n v="38"/>
    <x v="92"/>
    <x v="2"/>
    <s v="Michael Blythe"/>
    <s v="Match"/>
  </r>
  <r>
    <n v="275"/>
    <s v="Michael Blythe"/>
    <s v="Northeast"/>
    <n v="2012"/>
    <n v="1"/>
    <n v="1"/>
    <x v="1"/>
    <n v="36"/>
    <n v="606"/>
    <x v="123"/>
    <x v="2"/>
    <s v="Michael Blythe"/>
    <s v="Match"/>
  </r>
  <r>
    <n v="275"/>
    <s v="Michael Blythe"/>
    <s v="Northeast"/>
    <n v="2012"/>
    <n v="1"/>
    <n v="3"/>
    <x v="2"/>
    <n v="17"/>
    <n v="109"/>
    <x v="124"/>
    <x v="2"/>
    <s v="Michael Blythe"/>
    <s v="Match"/>
  </r>
  <r>
    <n v="275"/>
    <s v="Michael Blythe"/>
    <s v="Northeast"/>
    <n v="2012"/>
    <n v="1"/>
    <n v="2"/>
    <x v="3"/>
    <n v="19"/>
    <n v="127"/>
    <x v="125"/>
    <x v="2"/>
    <s v="Michael Blythe"/>
    <s v="Match"/>
  </r>
  <r>
    <n v="280"/>
    <s v="Pamela Ansman-Wolfe"/>
    <s v="Northwest"/>
    <n v="2012"/>
    <n v="1"/>
    <n v="4"/>
    <x v="0"/>
    <n v="7"/>
    <n v="38"/>
    <x v="92"/>
    <x v="2"/>
    <s v="Pamela Ansman-Wolfe"/>
    <s v="Match"/>
  </r>
  <r>
    <n v="280"/>
    <s v="Pamela Ansman-Wolfe"/>
    <s v="Northwest"/>
    <n v="2012"/>
    <n v="1"/>
    <n v="1"/>
    <x v="1"/>
    <n v="18"/>
    <n v="376"/>
    <x v="126"/>
    <x v="2"/>
    <s v="Pamela Ansman-Wolfe"/>
    <s v="Match"/>
  </r>
  <r>
    <n v="280"/>
    <s v="Pamela Ansman-Wolfe"/>
    <s v="Northwest"/>
    <n v="2012"/>
    <n v="1"/>
    <n v="3"/>
    <x v="2"/>
    <n v="15"/>
    <n v="121"/>
    <x v="127"/>
    <x v="2"/>
    <s v="Pamela Ansman-Wolfe"/>
    <s v="Match"/>
  </r>
  <r>
    <n v="280"/>
    <s v="Pamela Ansman-Wolfe"/>
    <s v="Northwest"/>
    <n v="2012"/>
    <n v="1"/>
    <n v="2"/>
    <x v="3"/>
    <n v="9"/>
    <n v="45"/>
    <x v="128"/>
    <x v="2"/>
    <s v="Pamela Ansman-Wolfe"/>
    <s v="Match"/>
  </r>
  <r>
    <n v="281"/>
    <s v="Shu Ito"/>
    <s v="Southwest"/>
    <n v="2012"/>
    <n v="1"/>
    <n v="4"/>
    <x v="0"/>
    <n v="9"/>
    <n v="70"/>
    <x v="129"/>
    <x v="2"/>
    <s v="Shu Ito"/>
    <s v="Match"/>
  </r>
  <r>
    <n v="281"/>
    <s v="Shu Ito"/>
    <s v="Southwest"/>
    <n v="2012"/>
    <n v="1"/>
    <n v="1"/>
    <x v="1"/>
    <n v="14"/>
    <n v="377"/>
    <x v="130"/>
    <x v="2"/>
    <s v="Shu Ito"/>
    <s v="Match"/>
  </r>
  <r>
    <n v="281"/>
    <s v="Shu Ito"/>
    <s v="Southwest"/>
    <n v="2012"/>
    <n v="1"/>
    <n v="3"/>
    <x v="2"/>
    <n v="14"/>
    <n v="109"/>
    <x v="131"/>
    <x v="2"/>
    <s v="Shu Ito"/>
    <s v="Match"/>
  </r>
  <r>
    <n v="281"/>
    <s v="Shu Ito"/>
    <s v="Southwest"/>
    <n v="2012"/>
    <n v="1"/>
    <n v="2"/>
    <x v="3"/>
    <n v="8"/>
    <n v="78"/>
    <x v="132"/>
    <x v="2"/>
    <s v="Shu Ito"/>
    <s v="Match"/>
  </r>
  <r>
    <n v="274"/>
    <s v="Stephen Jiang"/>
    <s v="Unassigned"/>
    <n v="2012"/>
    <n v="1"/>
    <n v="1"/>
    <x v="1"/>
    <n v="4"/>
    <n v="89"/>
    <x v="133"/>
    <x v="1"/>
    <s v="Stephen Jiang"/>
    <s v="Match"/>
  </r>
  <r>
    <n v="274"/>
    <s v="Stephen Jiang"/>
    <s v="Unassigned"/>
    <n v="2012"/>
    <n v="1"/>
    <n v="3"/>
    <x v="2"/>
    <n v="4"/>
    <n v="16"/>
    <x v="134"/>
    <x v="1"/>
    <s v="Stephen Jiang"/>
    <s v="Match"/>
  </r>
  <r>
    <n v="274"/>
    <s v="Stephen Jiang"/>
    <s v="Unassigned"/>
    <n v="2012"/>
    <n v="1"/>
    <n v="2"/>
    <x v="3"/>
    <n v="1"/>
    <n v="4"/>
    <x v="135"/>
    <x v="1"/>
    <s v="Stephen Jiang"/>
    <s v="Match"/>
  </r>
  <r>
    <n v="279"/>
    <s v="Tsvi Reiter"/>
    <s v="Southeast"/>
    <n v="2012"/>
    <n v="1"/>
    <n v="4"/>
    <x v="0"/>
    <n v="14"/>
    <n v="96"/>
    <x v="136"/>
    <x v="2"/>
    <s v="Tsvi Reiter"/>
    <s v="Match"/>
  </r>
  <r>
    <n v="279"/>
    <s v="Tsvi Reiter"/>
    <s v="Southeast"/>
    <n v="2012"/>
    <n v="1"/>
    <n v="1"/>
    <x v="1"/>
    <n v="37"/>
    <n v="721"/>
    <x v="137"/>
    <x v="2"/>
    <s v="Tsvi Reiter"/>
    <s v="Match"/>
  </r>
  <r>
    <n v="279"/>
    <s v="Tsvi Reiter"/>
    <s v="Southeast"/>
    <n v="2012"/>
    <n v="1"/>
    <n v="3"/>
    <x v="2"/>
    <n v="22"/>
    <n v="190"/>
    <x v="138"/>
    <x v="2"/>
    <s v="Tsvi Reiter"/>
    <s v="Match"/>
  </r>
  <r>
    <n v="279"/>
    <s v="Tsvi Reiter"/>
    <s v="Southeast"/>
    <n v="2012"/>
    <n v="1"/>
    <n v="2"/>
    <x v="3"/>
    <n v="24"/>
    <n v="170"/>
    <x v="139"/>
    <x v="2"/>
    <s v="Tsvi Reiter"/>
    <s v="Match"/>
  </r>
  <r>
    <n v="287"/>
    <s v="Amy Alberts"/>
    <s v="Unassigned"/>
    <n v="2012"/>
    <n v="2"/>
    <n v="4"/>
    <x v="0"/>
    <n v="1"/>
    <n v="27"/>
    <x v="140"/>
    <x v="1"/>
    <s v="Amy Alberts"/>
    <s v="Match"/>
  </r>
  <r>
    <n v="287"/>
    <s v="Amy Alberts"/>
    <s v="Unassigned"/>
    <n v="2012"/>
    <n v="2"/>
    <n v="1"/>
    <x v="1"/>
    <n v="2"/>
    <n v="49"/>
    <x v="141"/>
    <x v="1"/>
    <s v="Amy Alberts"/>
    <s v="Match"/>
  </r>
  <r>
    <n v="287"/>
    <s v="Amy Alberts"/>
    <s v="Unassigned"/>
    <n v="2012"/>
    <n v="2"/>
    <n v="3"/>
    <x v="2"/>
    <n v="2"/>
    <n v="139"/>
    <x v="142"/>
    <x v="1"/>
    <s v="Amy Alberts"/>
    <s v="Match"/>
  </r>
  <r>
    <n v="287"/>
    <s v="Amy Alberts"/>
    <s v="Unassigned"/>
    <n v="2012"/>
    <n v="2"/>
    <n v="2"/>
    <x v="3"/>
    <n v="3"/>
    <n v="73"/>
    <x v="143"/>
    <x v="1"/>
    <s v="Amy Alberts"/>
    <s v="Match"/>
  </r>
  <r>
    <n v="283"/>
    <s v="David Campbell"/>
    <s v="Northwest"/>
    <n v="2012"/>
    <n v="2"/>
    <n v="4"/>
    <x v="0"/>
    <n v="5"/>
    <n v="83"/>
    <x v="144"/>
    <x v="1"/>
    <s v="David Campbell"/>
    <s v="Match"/>
  </r>
  <r>
    <n v="283"/>
    <s v="David Campbell"/>
    <s v="Northwest"/>
    <n v="2012"/>
    <n v="2"/>
    <n v="1"/>
    <x v="1"/>
    <n v="12"/>
    <n v="343"/>
    <x v="145"/>
    <x v="1"/>
    <s v="David Campbell"/>
    <s v="Match"/>
  </r>
  <r>
    <n v="283"/>
    <s v="David Campbell"/>
    <s v="Northwest"/>
    <n v="2012"/>
    <n v="2"/>
    <n v="3"/>
    <x v="2"/>
    <n v="12"/>
    <n v="310"/>
    <x v="146"/>
    <x v="1"/>
    <s v="David Campbell"/>
    <s v="Match"/>
  </r>
  <r>
    <n v="283"/>
    <s v="David Campbell"/>
    <s v="Northwest"/>
    <n v="2012"/>
    <n v="2"/>
    <n v="2"/>
    <x v="3"/>
    <n v="11"/>
    <n v="331"/>
    <x v="147"/>
    <x v="1"/>
    <s v="David Campbell"/>
    <s v="Match"/>
  </r>
  <r>
    <n v="278"/>
    <s v="Garrett Vargas"/>
    <s v="Canada"/>
    <n v="2012"/>
    <n v="2"/>
    <n v="4"/>
    <x v="0"/>
    <n v="8"/>
    <n v="176"/>
    <x v="148"/>
    <x v="1"/>
    <s v="Garrett Vargas"/>
    <s v="Match"/>
  </r>
  <r>
    <n v="278"/>
    <s v="Garrett Vargas"/>
    <s v="Canada"/>
    <n v="2012"/>
    <n v="2"/>
    <n v="1"/>
    <x v="1"/>
    <n v="14"/>
    <n v="391"/>
    <x v="149"/>
    <x v="1"/>
    <s v="Garrett Vargas"/>
    <s v="Match"/>
  </r>
  <r>
    <n v="278"/>
    <s v="Garrett Vargas"/>
    <s v="Canada"/>
    <n v="2012"/>
    <n v="2"/>
    <n v="3"/>
    <x v="2"/>
    <n v="10"/>
    <n v="483"/>
    <x v="150"/>
    <x v="1"/>
    <s v="Garrett Vargas"/>
    <s v="Match"/>
  </r>
  <r>
    <n v="278"/>
    <s v="Garrett Vargas"/>
    <s v="Canada"/>
    <n v="2012"/>
    <n v="2"/>
    <n v="2"/>
    <x v="3"/>
    <n v="12"/>
    <n v="278"/>
    <x v="151"/>
    <x v="1"/>
    <s v="Garrett Vargas"/>
    <s v="Match"/>
  </r>
  <r>
    <n v="289"/>
    <s v="Jae Pak"/>
    <s v="United Kingdom"/>
    <n v="2012"/>
    <n v="2"/>
    <n v="4"/>
    <x v="0"/>
    <n v="12"/>
    <n v="262"/>
    <x v="152"/>
    <x v="1"/>
    <s v="Jae Pak"/>
    <s v="Match"/>
  </r>
  <r>
    <n v="289"/>
    <s v="Jae Pak"/>
    <s v="United Kingdom"/>
    <n v="2012"/>
    <n v="2"/>
    <n v="1"/>
    <x v="1"/>
    <n v="22"/>
    <n v="873"/>
    <x v="153"/>
    <x v="1"/>
    <s v="Jae Pak"/>
    <s v="Match"/>
  </r>
  <r>
    <n v="289"/>
    <s v="Jae Pak"/>
    <s v="United Kingdom"/>
    <n v="2012"/>
    <n v="2"/>
    <n v="3"/>
    <x v="2"/>
    <n v="21"/>
    <n v="855"/>
    <x v="154"/>
    <x v="1"/>
    <s v="Jae Pak"/>
    <s v="Match"/>
  </r>
  <r>
    <n v="289"/>
    <s v="Jae Pak"/>
    <s v="United Kingdom"/>
    <n v="2012"/>
    <n v="2"/>
    <n v="2"/>
    <x v="3"/>
    <n v="27"/>
    <n v="851"/>
    <x v="155"/>
    <x v="1"/>
    <s v="Jae Pak"/>
    <s v="Match"/>
  </r>
  <r>
    <n v="277"/>
    <s v="Jillian Carson"/>
    <s v="Central"/>
    <n v="2012"/>
    <n v="2"/>
    <n v="4"/>
    <x v="0"/>
    <n v="19"/>
    <n v="196"/>
    <x v="156"/>
    <x v="1"/>
    <s v="Jillian Carson"/>
    <s v="Match"/>
  </r>
  <r>
    <n v="277"/>
    <s v="Jillian Carson"/>
    <s v="Central"/>
    <n v="2012"/>
    <n v="2"/>
    <n v="1"/>
    <x v="1"/>
    <n v="30"/>
    <n v="1075"/>
    <x v="157"/>
    <x v="1"/>
    <s v="Jillian Carson"/>
    <s v="Match"/>
  </r>
  <r>
    <n v="277"/>
    <s v="Jillian Carson"/>
    <s v="Central"/>
    <n v="2012"/>
    <n v="2"/>
    <n v="3"/>
    <x v="2"/>
    <n v="25"/>
    <n v="504"/>
    <x v="158"/>
    <x v="1"/>
    <s v="Jillian Carson"/>
    <s v="Match"/>
  </r>
  <r>
    <n v="277"/>
    <s v="Jillian Carson"/>
    <s v="Central"/>
    <n v="2012"/>
    <n v="2"/>
    <n v="2"/>
    <x v="3"/>
    <n v="28"/>
    <n v="800"/>
    <x v="159"/>
    <x v="1"/>
    <s v="Jillian Carson"/>
    <s v="Match"/>
  </r>
  <r>
    <n v="282"/>
    <s v="José Saraiva"/>
    <s v="Canada"/>
    <n v="2012"/>
    <n v="2"/>
    <n v="4"/>
    <x v="0"/>
    <n v="8"/>
    <n v="107"/>
    <x v="160"/>
    <x v="1"/>
    <s v="José Saraiva"/>
    <s v="Match"/>
  </r>
  <r>
    <n v="282"/>
    <s v="José Saraiva"/>
    <s v="Canada"/>
    <n v="2012"/>
    <n v="2"/>
    <n v="1"/>
    <x v="1"/>
    <n v="12"/>
    <n v="314"/>
    <x v="161"/>
    <x v="1"/>
    <s v="José Saraiva"/>
    <s v="Match"/>
  </r>
  <r>
    <n v="282"/>
    <s v="José Saraiva"/>
    <s v="Canada"/>
    <n v="2012"/>
    <n v="2"/>
    <n v="3"/>
    <x v="2"/>
    <n v="11"/>
    <n v="280"/>
    <x v="162"/>
    <x v="1"/>
    <s v="José Saraiva"/>
    <s v="Match"/>
  </r>
  <r>
    <n v="282"/>
    <s v="José Saraiva"/>
    <s v="Canada"/>
    <n v="2012"/>
    <n v="2"/>
    <n v="2"/>
    <x v="3"/>
    <n v="15"/>
    <n v="200"/>
    <x v="163"/>
    <x v="1"/>
    <s v="José Saraiva"/>
    <s v="Match"/>
  </r>
  <r>
    <n v="276"/>
    <s v="Linda Mitchell"/>
    <s v="Southwest"/>
    <n v="2012"/>
    <n v="2"/>
    <n v="4"/>
    <x v="0"/>
    <n v="16"/>
    <n v="270"/>
    <x v="164"/>
    <x v="1"/>
    <s v="Linda Mitchell"/>
    <s v="Match"/>
  </r>
  <r>
    <n v="276"/>
    <s v="Linda Mitchell"/>
    <s v="Southwest"/>
    <n v="2012"/>
    <n v="2"/>
    <n v="1"/>
    <x v="1"/>
    <n v="29"/>
    <n v="898"/>
    <x v="165"/>
    <x v="1"/>
    <s v="Linda Mitchell"/>
    <s v="Match"/>
  </r>
  <r>
    <n v="276"/>
    <s v="Linda Mitchell"/>
    <s v="Southwest"/>
    <n v="2012"/>
    <n v="2"/>
    <n v="3"/>
    <x v="2"/>
    <n v="22"/>
    <n v="845"/>
    <x v="166"/>
    <x v="1"/>
    <s v="Linda Mitchell"/>
    <s v="Match"/>
  </r>
  <r>
    <n v="276"/>
    <s v="Linda Mitchell"/>
    <s v="Southwest"/>
    <n v="2012"/>
    <n v="2"/>
    <n v="2"/>
    <x v="3"/>
    <n v="25"/>
    <n v="625"/>
    <x v="167"/>
    <x v="1"/>
    <s v="Linda Mitchell"/>
    <s v="Match"/>
  </r>
  <r>
    <n v="275"/>
    <s v="Michael Blythe"/>
    <s v="Northeast"/>
    <n v="2012"/>
    <n v="2"/>
    <n v="4"/>
    <x v="0"/>
    <n v="13"/>
    <n v="215"/>
    <x v="168"/>
    <x v="1"/>
    <s v="Michael Blythe"/>
    <s v="Match"/>
  </r>
  <r>
    <n v="275"/>
    <s v="Michael Blythe"/>
    <s v="Northeast"/>
    <n v="2012"/>
    <n v="2"/>
    <n v="1"/>
    <x v="1"/>
    <n v="33"/>
    <n v="1010"/>
    <x v="169"/>
    <x v="1"/>
    <s v="Michael Blythe"/>
    <s v="Match"/>
  </r>
  <r>
    <n v="275"/>
    <s v="Michael Blythe"/>
    <s v="Northeast"/>
    <n v="2012"/>
    <n v="2"/>
    <n v="3"/>
    <x v="2"/>
    <n v="25"/>
    <n v="795"/>
    <x v="170"/>
    <x v="1"/>
    <s v="Michael Blythe"/>
    <s v="Match"/>
  </r>
  <r>
    <n v="275"/>
    <s v="Michael Blythe"/>
    <s v="Northeast"/>
    <n v="2012"/>
    <n v="2"/>
    <n v="2"/>
    <x v="3"/>
    <n v="33"/>
    <n v="813"/>
    <x v="171"/>
    <x v="1"/>
    <s v="Michael Blythe"/>
    <s v="Match"/>
  </r>
  <r>
    <n v="280"/>
    <s v="Pamela Ansman-Wolfe"/>
    <s v="Northwest"/>
    <n v="2012"/>
    <n v="2"/>
    <n v="4"/>
    <x v="0"/>
    <n v="7"/>
    <n v="131"/>
    <x v="172"/>
    <x v="2"/>
    <s v="Pamela Ansman-Wolfe"/>
    <s v="Match"/>
  </r>
  <r>
    <n v="280"/>
    <s v="Pamela Ansman-Wolfe"/>
    <s v="Northwest"/>
    <n v="2012"/>
    <n v="2"/>
    <n v="1"/>
    <x v="1"/>
    <n v="8"/>
    <n v="350"/>
    <x v="173"/>
    <x v="2"/>
    <s v="Pamela Ansman-Wolfe"/>
    <s v="Match"/>
  </r>
  <r>
    <n v="280"/>
    <s v="Pamela Ansman-Wolfe"/>
    <s v="Northwest"/>
    <n v="2012"/>
    <n v="2"/>
    <n v="3"/>
    <x v="2"/>
    <n v="10"/>
    <n v="412"/>
    <x v="174"/>
    <x v="2"/>
    <s v="Pamela Ansman-Wolfe"/>
    <s v="Match"/>
  </r>
  <r>
    <n v="280"/>
    <s v="Pamela Ansman-Wolfe"/>
    <s v="Northwest"/>
    <n v="2012"/>
    <n v="2"/>
    <n v="2"/>
    <x v="3"/>
    <n v="12"/>
    <n v="348"/>
    <x v="175"/>
    <x v="2"/>
    <s v="Pamela Ansman-Wolfe"/>
    <s v="Match"/>
  </r>
  <r>
    <n v="290"/>
    <s v="Ranjit Varkey Chudukatil"/>
    <s v="France"/>
    <n v="2012"/>
    <n v="2"/>
    <n v="4"/>
    <x v="0"/>
    <n v="7"/>
    <n v="160"/>
    <x v="176"/>
    <x v="1"/>
    <s v="Ranjit Varkey Chudukatil"/>
    <s v="Match"/>
  </r>
  <r>
    <n v="290"/>
    <s v="Ranjit Varkey Chudukatil"/>
    <s v="France"/>
    <n v="2012"/>
    <n v="2"/>
    <n v="1"/>
    <x v="1"/>
    <n v="9"/>
    <n v="338"/>
    <x v="177"/>
    <x v="1"/>
    <s v="Ranjit Varkey Chudukatil"/>
    <s v="Match"/>
  </r>
  <r>
    <n v="290"/>
    <s v="Ranjit Varkey Chudukatil"/>
    <s v="France"/>
    <n v="2012"/>
    <n v="2"/>
    <n v="3"/>
    <x v="2"/>
    <n v="9"/>
    <n v="480"/>
    <x v="178"/>
    <x v="1"/>
    <s v="Ranjit Varkey Chudukatil"/>
    <s v="Match"/>
  </r>
  <r>
    <n v="290"/>
    <s v="Ranjit Varkey Chudukatil"/>
    <s v="France"/>
    <n v="2012"/>
    <n v="2"/>
    <n v="2"/>
    <x v="3"/>
    <n v="11"/>
    <n v="318"/>
    <x v="179"/>
    <x v="1"/>
    <s v="Ranjit Varkey Chudukatil"/>
    <s v="Match"/>
  </r>
  <r>
    <n v="281"/>
    <s v="Shu Ito"/>
    <s v="Southwest"/>
    <n v="2012"/>
    <n v="2"/>
    <n v="4"/>
    <x v="0"/>
    <n v="9"/>
    <n v="128"/>
    <x v="180"/>
    <x v="1"/>
    <s v="Shu Ito"/>
    <s v="Match"/>
  </r>
  <r>
    <n v="281"/>
    <s v="Shu Ito"/>
    <s v="Southwest"/>
    <n v="2012"/>
    <n v="2"/>
    <n v="1"/>
    <x v="1"/>
    <n v="18"/>
    <n v="592"/>
    <x v="181"/>
    <x v="1"/>
    <s v="Shu Ito"/>
    <s v="Match"/>
  </r>
  <r>
    <n v="281"/>
    <s v="Shu Ito"/>
    <s v="Southwest"/>
    <n v="2012"/>
    <n v="2"/>
    <n v="3"/>
    <x v="2"/>
    <n v="13"/>
    <n v="340"/>
    <x v="182"/>
    <x v="1"/>
    <s v="Shu Ito"/>
    <s v="Match"/>
  </r>
  <r>
    <n v="281"/>
    <s v="Shu Ito"/>
    <s v="Southwest"/>
    <n v="2012"/>
    <n v="2"/>
    <n v="2"/>
    <x v="3"/>
    <n v="17"/>
    <n v="366"/>
    <x v="183"/>
    <x v="1"/>
    <s v="Shu Ito"/>
    <s v="Match"/>
  </r>
  <r>
    <n v="274"/>
    <s v="Stephen Jiang"/>
    <s v="Unassigned"/>
    <n v="2012"/>
    <n v="2"/>
    <n v="4"/>
    <x v="0"/>
    <n v="2"/>
    <n v="46"/>
    <x v="184"/>
    <x v="2"/>
    <s v="Stephen Jiang"/>
    <s v="Match"/>
  </r>
  <r>
    <n v="274"/>
    <s v="Stephen Jiang"/>
    <s v="Unassigned"/>
    <n v="2012"/>
    <n v="2"/>
    <n v="1"/>
    <x v="1"/>
    <n v="7"/>
    <n v="99"/>
    <x v="185"/>
    <x v="2"/>
    <s v="Stephen Jiang"/>
    <s v="Match"/>
  </r>
  <r>
    <n v="274"/>
    <s v="Stephen Jiang"/>
    <s v="Unassigned"/>
    <n v="2012"/>
    <n v="2"/>
    <n v="3"/>
    <x v="2"/>
    <n v="3"/>
    <n v="152"/>
    <x v="186"/>
    <x v="2"/>
    <s v="Stephen Jiang"/>
    <s v="Match"/>
  </r>
  <r>
    <n v="274"/>
    <s v="Stephen Jiang"/>
    <s v="Unassigned"/>
    <n v="2012"/>
    <n v="2"/>
    <n v="2"/>
    <x v="3"/>
    <n v="5"/>
    <n v="87"/>
    <x v="187"/>
    <x v="2"/>
    <s v="Stephen Jiang"/>
    <s v="Match"/>
  </r>
  <r>
    <n v="279"/>
    <s v="Tsvi Reiter"/>
    <s v="Southeast"/>
    <n v="2012"/>
    <n v="2"/>
    <n v="4"/>
    <x v="0"/>
    <n v="13"/>
    <n v="168"/>
    <x v="188"/>
    <x v="1"/>
    <s v="Tsvi Reiter"/>
    <s v="Match"/>
  </r>
  <r>
    <n v="279"/>
    <s v="Tsvi Reiter"/>
    <s v="Southeast"/>
    <n v="2012"/>
    <n v="2"/>
    <n v="1"/>
    <x v="1"/>
    <n v="33"/>
    <n v="596"/>
    <x v="189"/>
    <x v="1"/>
    <s v="Tsvi Reiter"/>
    <s v="Match"/>
  </r>
  <r>
    <n v="279"/>
    <s v="Tsvi Reiter"/>
    <s v="Southeast"/>
    <n v="2012"/>
    <n v="2"/>
    <n v="3"/>
    <x v="2"/>
    <n v="20"/>
    <n v="691"/>
    <x v="190"/>
    <x v="1"/>
    <s v="Tsvi Reiter"/>
    <s v="Match"/>
  </r>
  <r>
    <n v="279"/>
    <s v="Tsvi Reiter"/>
    <s v="Southeast"/>
    <n v="2012"/>
    <n v="2"/>
    <n v="2"/>
    <x v="3"/>
    <n v="33"/>
    <n v="477"/>
    <x v="191"/>
    <x v="1"/>
    <s v="Tsvi Reiter"/>
    <s v="Match"/>
  </r>
  <r>
    <n v="287"/>
    <s v="Amy Alberts"/>
    <s v="Unassigned"/>
    <n v="2012"/>
    <n v="3"/>
    <n v="4"/>
    <x v="0"/>
    <n v="1"/>
    <n v="2"/>
    <x v="192"/>
    <x v="1"/>
    <s v="Amy Alberts"/>
    <s v="Match"/>
  </r>
  <r>
    <n v="287"/>
    <s v="Amy Alberts"/>
    <s v="Unassigned"/>
    <n v="2012"/>
    <n v="3"/>
    <n v="1"/>
    <x v="1"/>
    <n v="2"/>
    <n v="14"/>
    <x v="193"/>
    <x v="1"/>
    <s v="Amy Alberts"/>
    <s v="Match"/>
  </r>
  <r>
    <n v="287"/>
    <s v="Amy Alberts"/>
    <s v="Unassigned"/>
    <n v="2012"/>
    <n v="3"/>
    <n v="3"/>
    <x v="2"/>
    <n v="2"/>
    <n v="11"/>
    <x v="194"/>
    <x v="1"/>
    <s v="Amy Alberts"/>
    <s v="Match"/>
  </r>
  <r>
    <n v="287"/>
    <s v="Amy Alberts"/>
    <s v="Unassigned"/>
    <n v="2012"/>
    <n v="3"/>
    <n v="2"/>
    <x v="3"/>
    <n v="1"/>
    <n v="2"/>
    <x v="195"/>
    <x v="1"/>
    <s v="Amy Alberts"/>
    <s v="Match"/>
  </r>
  <r>
    <n v="283"/>
    <s v="David Campbell"/>
    <s v="Northwest"/>
    <n v="2012"/>
    <n v="3"/>
    <n v="4"/>
    <x v="0"/>
    <n v="6"/>
    <n v="61"/>
    <x v="196"/>
    <x v="1"/>
    <s v="David Campbell"/>
    <s v="Match"/>
  </r>
  <r>
    <n v="283"/>
    <s v="David Campbell"/>
    <s v="Northwest"/>
    <n v="2012"/>
    <n v="3"/>
    <n v="1"/>
    <x v="1"/>
    <n v="11"/>
    <n v="306"/>
    <x v="197"/>
    <x v="1"/>
    <s v="David Campbell"/>
    <s v="Match"/>
  </r>
  <r>
    <n v="283"/>
    <s v="David Campbell"/>
    <s v="Northwest"/>
    <n v="2012"/>
    <n v="3"/>
    <n v="3"/>
    <x v="2"/>
    <n v="7"/>
    <n v="204"/>
    <x v="198"/>
    <x v="1"/>
    <s v="David Campbell"/>
    <s v="Match"/>
  </r>
  <r>
    <n v="283"/>
    <s v="David Campbell"/>
    <s v="Northwest"/>
    <n v="2012"/>
    <n v="3"/>
    <n v="2"/>
    <x v="3"/>
    <n v="8"/>
    <n v="191"/>
    <x v="199"/>
    <x v="1"/>
    <s v="David Campbell"/>
    <s v="Match"/>
  </r>
  <r>
    <n v="278"/>
    <s v="Garrett Vargas"/>
    <s v="Canada"/>
    <n v="2012"/>
    <n v="3"/>
    <n v="4"/>
    <x v="0"/>
    <n v="7"/>
    <n v="141"/>
    <x v="200"/>
    <x v="1"/>
    <s v="Garrett Vargas"/>
    <s v="Match"/>
  </r>
  <r>
    <n v="278"/>
    <s v="Garrett Vargas"/>
    <s v="Canada"/>
    <n v="2012"/>
    <n v="3"/>
    <n v="1"/>
    <x v="1"/>
    <n v="16"/>
    <n v="364"/>
    <x v="201"/>
    <x v="1"/>
    <s v="Garrett Vargas"/>
    <s v="Match"/>
  </r>
  <r>
    <n v="278"/>
    <s v="Garrett Vargas"/>
    <s v="Canada"/>
    <n v="2012"/>
    <n v="3"/>
    <n v="3"/>
    <x v="2"/>
    <n v="15"/>
    <n v="497"/>
    <x v="202"/>
    <x v="1"/>
    <s v="Garrett Vargas"/>
    <s v="Match"/>
  </r>
  <r>
    <n v="278"/>
    <s v="Garrett Vargas"/>
    <s v="Canada"/>
    <n v="2012"/>
    <n v="3"/>
    <n v="2"/>
    <x v="3"/>
    <n v="19"/>
    <n v="221"/>
    <x v="203"/>
    <x v="1"/>
    <s v="Garrett Vargas"/>
    <s v="Match"/>
  </r>
  <r>
    <n v="289"/>
    <s v="Jae Pak"/>
    <s v="United Kingdom"/>
    <n v="2012"/>
    <n v="3"/>
    <n v="4"/>
    <x v="0"/>
    <n v="16"/>
    <n v="358"/>
    <x v="204"/>
    <x v="1"/>
    <s v="Jae Pak"/>
    <s v="Match"/>
  </r>
  <r>
    <n v="289"/>
    <s v="Jae Pak"/>
    <s v="United Kingdom"/>
    <n v="2012"/>
    <n v="3"/>
    <n v="1"/>
    <x v="1"/>
    <n v="32"/>
    <n v="1002"/>
    <x v="205"/>
    <x v="1"/>
    <s v="Jae Pak"/>
    <s v="Match"/>
  </r>
  <r>
    <n v="289"/>
    <s v="Jae Pak"/>
    <s v="United Kingdom"/>
    <n v="2012"/>
    <n v="3"/>
    <n v="3"/>
    <x v="2"/>
    <n v="33"/>
    <n v="1149"/>
    <x v="206"/>
    <x v="1"/>
    <s v="Jae Pak"/>
    <s v="Match"/>
  </r>
  <r>
    <n v="289"/>
    <s v="Jae Pak"/>
    <s v="United Kingdom"/>
    <n v="2012"/>
    <n v="3"/>
    <n v="2"/>
    <x v="3"/>
    <n v="31"/>
    <n v="1004"/>
    <x v="207"/>
    <x v="1"/>
    <s v="Jae Pak"/>
    <s v="Match"/>
  </r>
  <r>
    <n v="277"/>
    <s v="Jillian Carson"/>
    <s v="Central"/>
    <n v="2012"/>
    <n v="3"/>
    <n v="4"/>
    <x v="0"/>
    <n v="15"/>
    <n v="234"/>
    <x v="208"/>
    <x v="1"/>
    <s v="Jillian Carson"/>
    <s v="Match"/>
  </r>
  <r>
    <n v="277"/>
    <s v="Jillian Carson"/>
    <s v="Central"/>
    <n v="2012"/>
    <n v="3"/>
    <n v="1"/>
    <x v="1"/>
    <n v="29"/>
    <n v="1146"/>
    <x v="209"/>
    <x v="1"/>
    <s v="Jillian Carson"/>
    <s v="Match"/>
  </r>
  <r>
    <n v="277"/>
    <s v="Jillian Carson"/>
    <s v="Central"/>
    <n v="2012"/>
    <n v="3"/>
    <n v="3"/>
    <x v="2"/>
    <n v="27"/>
    <n v="762"/>
    <x v="210"/>
    <x v="1"/>
    <s v="Jillian Carson"/>
    <s v="Match"/>
  </r>
  <r>
    <n v="277"/>
    <s v="Jillian Carson"/>
    <s v="Central"/>
    <n v="2012"/>
    <n v="3"/>
    <n v="2"/>
    <x v="3"/>
    <n v="31"/>
    <n v="843"/>
    <x v="211"/>
    <x v="1"/>
    <s v="Jillian Carson"/>
    <s v="Match"/>
  </r>
  <r>
    <n v="282"/>
    <s v="José Saraiva"/>
    <s v="Canada"/>
    <n v="2012"/>
    <n v="3"/>
    <n v="4"/>
    <x v="0"/>
    <n v="7"/>
    <n v="109"/>
    <x v="212"/>
    <x v="1"/>
    <s v="José Saraiva"/>
    <s v="Match"/>
  </r>
  <r>
    <n v="282"/>
    <s v="José Saraiva"/>
    <s v="Canada"/>
    <n v="2012"/>
    <n v="3"/>
    <n v="1"/>
    <x v="1"/>
    <n v="12"/>
    <n v="367"/>
    <x v="213"/>
    <x v="1"/>
    <s v="José Saraiva"/>
    <s v="Match"/>
  </r>
  <r>
    <n v="282"/>
    <s v="José Saraiva"/>
    <s v="Canada"/>
    <n v="2012"/>
    <n v="3"/>
    <n v="3"/>
    <x v="2"/>
    <n v="10"/>
    <n v="360"/>
    <x v="214"/>
    <x v="1"/>
    <s v="José Saraiva"/>
    <s v="Match"/>
  </r>
  <r>
    <n v="282"/>
    <s v="José Saraiva"/>
    <s v="Canada"/>
    <n v="2012"/>
    <n v="3"/>
    <n v="2"/>
    <x v="3"/>
    <n v="13"/>
    <n v="322"/>
    <x v="215"/>
    <x v="1"/>
    <s v="José Saraiva"/>
    <s v="Match"/>
  </r>
  <r>
    <n v="276"/>
    <s v="Linda Mitchell"/>
    <s v="Southwest"/>
    <n v="2012"/>
    <n v="3"/>
    <n v="4"/>
    <x v="0"/>
    <n v="17"/>
    <n v="348"/>
    <x v="216"/>
    <x v="2"/>
    <s v="Linda Mitchell"/>
    <s v="Match"/>
  </r>
  <r>
    <n v="276"/>
    <s v="Linda Mitchell"/>
    <s v="Southwest"/>
    <n v="2012"/>
    <n v="3"/>
    <n v="1"/>
    <x v="1"/>
    <n v="32"/>
    <n v="994"/>
    <x v="217"/>
    <x v="2"/>
    <s v="Linda Mitchell"/>
    <s v="Match"/>
  </r>
  <r>
    <n v="276"/>
    <s v="Linda Mitchell"/>
    <s v="Southwest"/>
    <n v="2012"/>
    <n v="3"/>
    <n v="3"/>
    <x v="2"/>
    <n v="29"/>
    <n v="1148"/>
    <x v="218"/>
    <x v="2"/>
    <s v="Linda Mitchell"/>
    <s v="Match"/>
  </r>
  <r>
    <n v="276"/>
    <s v="Linda Mitchell"/>
    <s v="Southwest"/>
    <n v="2012"/>
    <n v="3"/>
    <n v="2"/>
    <x v="3"/>
    <n v="34"/>
    <n v="865"/>
    <x v="219"/>
    <x v="2"/>
    <s v="Linda Mitchell"/>
    <s v="Match"/>
  </r>
  <r>
    <n v="275"/>
    <s v="Michael Blythe"/>
    <s v="Northeast"/>
    <n v="2012"/>
    <n v="3"/>
    <n v="4"/>
    <x v="0"/>
    <n v="15"/>
    <n v="303"/>
    <x v="220"/>
    <x v="1"/>
    <s v="Michael Blythe"/>
    <s v="Match"/>
  </r>
  <r>
    <n v="275"/>
    <s v="Michael Blythe"/>
    <s v="Northeast"/>
    <n v="2012"/>
    <n v="3"/>
    <n v="1"/>
    <x v="1"/>
    <n v="34"/>
    <n v="1195"/>
    <x v="221"/>
    <x v="1"/>
    <s v="Michael Blythe"/>
    <s v="Match"/>
  </r>
  <r>
    <n v="275"/>
    <s v="Michael Blythe"/>
    <s v="Northeast"/>
    <n v="2012"/>
    <n v="3"/>
    <n v="3"/>
    <x v="2"/>
    <n v="28"/>
    <n v="974"/>
    <x v="222"/>
    <x v="1"/>
    <s v="Michael Blythe"/>
    <s v="Match"/>
  </r>
  <r>
    <n v="275"/>
    <s v="Michael Blythe"/>
    <s v="Northeast"/>
    <n v="2012"/>
    <n v="3"/>
    <n v="2"/>
    <x v="3"/>
    <n v="35"/>
    <n v="794"/>
    <x v="223"/>
    <x v="1"/>
    <s v="Michael Blythe"/>
    <s v="Match"/>
  </r>
  <r>
    <n v="280"/>
    <s v="Pamela Ansman-Wolfe"/>
    <s v="Northwest"/>
    <n v="2012"/>
    <n v="3"/>
    <n v="4"/>
    <x v="0"/>
    <n v="4"/>
    <n v="62"/>
    <x v="224"/>
    <x v="1"/>
    <s v="Pamela Ansman-Wolfe"/>
    <s v="Match"/>
  </r>
  <r>
    <n v="280"/>
    <s v="Pamela Ansman-Wolfe"/>
    <s v="Northwest"/>
    <n v="2012"/>
    <n v="3"/>
    <n v="1"/>
    <x v="1"/>
    <n v="6"/>
    <n v="152"/>
    <x v="225"/>
    <x v="1"/>
    <s v="Pamela Ansman-Wolfe"/>
    <s v="Match"/>
  </r>
  <r>
    <n v="280"/>
    <s v="Pamela Ansman-Wolfe"/>
    <s v="Northwest"/>
    <n v="2012"/>
    <n v="3"/>
    <n v="3"/>
    <x v="2"/>
    <n v="6"/>
    <n v="210"/>
    <x v="226"/>
    <x v="1"/>
    <s v="Pamela Ansman-Wolfe"/>
    <s v="Match"/>
  </r>
  <r>
    <n v="280"/>
    <s v="Pamela Ansman-Wolfe"/>
    <s v="Northwest"/>
    <n v="2012"/>
    <n v="3"/>
    <n v="2"/>
    <x v="3"/>
    <n v="9"/>
    <n v="160"/>
    <x v="227"/>
    <x v="1"/>
    <s v="Pamela Ansman-Wolfe"/>
    <s v="Match"/>
  </r>
  <r>
    <n v="290"/>
    <s v="Ranjit Varkey Chudukatil"/>
    <s v="France"/>
    <n v="2012"/>
    <n v="3"/>
    <n v="4"/>
    <x v="0"/>
    <n v="6"/>
    <n v="133"/>
    <x v="228"/>
    <x v="1"/>
    <s v="Ranjit Varkey Chudukatil"/>
    <s v="Match"/>
  </r>
  <r>
    <n v="290"/>
    <s v="Ranjit Varkey Chudukatil"/>
    <s v="France"/>
    <n v="2012"/>
    <n v="3"/>
    <n v="1"/>
    <x v="1"/>
    <n v="14"/>
    <n v="406"/>
    <x v="229"/>
    <x v="1"/>
    <s v="Ranjit Varkey Chudukatil"/>
    <s v="Match"/>
  </r>
  <r>
    <n v="290"/>
    <s v="Ranjit Varkey Chudukatil"/>
    <s v="France"/>
    <n v="2012"/>
    <n v="3"/>
    <n v="3"/>
    <x v="2"/>
    <n v="9"/>
    <n v="382"/>
    <x v="230"/>
    <x v="1"/>
    <s v="Ranjit Varkey Chudukatil"/>
    <s v="Match"/>
  </r>
  <r>
    <n v="290"/>
    <s v="Ranjit Varkey Chudukatil"/>
    <s v="France"/>
    <n v="2012"/>
    <n v="3"/>
    <n v="2"/>
    <x v="3"/>
    <n v="13"/>
    <n v="266"/>
    <x v="231"/>
    <x v="1"/>
    <s v="Ranjit Varkey Chudukatil"/>
    <s v="Match"/>
  </r>
  <r>
    <n v="281"/>
    <s v="Shu Ito"/>
    <s v="Southwest"/>
    <n v="2012"/>
    <n v="3"/>
    <n v="4"/>
    <x v="0"/>
    <n v="8"/>
    <n v="130"/>
    <x v="232"/>
    <x v="1"/>
    <s v="Shu Ito"/>
    <s v="Match"/>
  </r>
  <r>
    <n v="281"/>
    <s v="Shu Ito"/>
    <s v="Southwest"/>
    <n v="2012"/>
    <n v="3"/>
    <n v="1"/>
    <x v="1"/>
    <n v="18"/>
    <n v="729"/>
    <x v="233"/>
    <x v="1"/>
    <s v="Shu Ito"/>
    <s v="Match"/>
  </r>
  <r>
    <n v="281"/>
    <s v="Shu Ito"/>
    <s v="Southwest"/>
    <n v="2012"/>
    <n v="3"/>
    <n v="3"/>
    <x v="2"/>
    <n v="14"/>
    <n v="464"/>
    <x v="234"/>
    <x v="1"/>
    <s v="Shu Ito"/>
    <s v="Match"/>
  </r>
  <r>
    <n v="281"/>
    <s v="Shu Ito"/>
    <s v="Southwest"/>
    <n v="2012"/>
    <n v="3"/>
    <n v="2"/>
    <x v="3"/>
    <n v="18"/>
    <n v="533"/>
    <x v="235"/>
    <x v="1"/>
    <s v="Shu Ito"/>
    <s v="Match"/>
  </r>
  <r>
    <n v="274"/>
    <s v="Stephen Jiang"/>
    <s v="Unassigned"/>
    <n v="2012"/>
    <n v="3"/>
    <n v="4"/>
    <x v="0"/>
    <n v="1"/>
    <n v="2"/>
    <x v="192"/>
    <x v="1"/>
    <s v="Stephen Jiang"/>
    <s v="Match"/>
  </r>
  <r>
    <n v="274"/>
    <s v="Stephen Jiang"/>
    <s v="Unassigned"/>
    <n v="2012"/>
    <n v="3"/>
    <n v="1"/>
    <x v="1"/>
    <n v="4"/>
    <n v="53"/>
    <x v="236"/>
    <x v="1"/>
    <s v="Stephen Jiang"/>
    <s v="Match"/>
  </r>
  <r>
    <n v="274"/>
    <s v="Stephen Jiang"/>
    <s v="Unassigned"/>
    <n v="2012"/>
    <n v="3"/>
    <n v="3"/>
    <x v="2"/>
    <n v="5"/>
    <n v="38"/>
    <x v="237"/>
    <x v="1"/>
    <s v="Stephen Jiang"/>
    <s v="Match"/>
  </r>
  <r>
    <n v="274"/>
    <s v="Stephen Jiang"/>
    <s v="Unassigned"/>
    <n v="2012"/>
    <n v="3"/>
    <n v="2"/>
    <x v="3"/>
    <n v="3"/>
    <n v="51"/>
    <x v="238"/>
    <x v="1"/>
    <s v="Stephen Jiang"/>
    <s v="Match"/>
  </r>
  <r>
    <n v="284"/>
    <s v="Tete Mensa-Annan"/>
    <s v="Northwest"/>
    <n v="2012"/>
    <n v="3"/>
    <n v="4"/>
    <x v="0"/>
    <n v="3"/>
    <n v="72"/>
    <x v="239"/>
    <x v="1"/>
    <s v="Tete Mensa-Annan"/>
    <s v="Match"/>
  </r>
  <r>
    <n v="284"/>
    <s v="Tete Mensa-Annan"/>
    <s v="Northwest"/>
    <n v="2012"/>
    <n v="3"/>
    <n v="1"/>
    <x v="1"/>
    <n v="5"/>
    <n v="216"/>
    <x v="240"/>
    <x v="1"/>
    <s v="Tete Mensa-Annan"/>
    <s v="Match"/>
  </r>
  <r>
    <n v="284"/>
    <s v="Tete Mensa-Annan"/>
    <s v="Northwest"/>
    <n v="2012"/>
    <n v="3"/>
    <n v="3"/>
    <x v="2"/>
    <n v="4"/>
    <n v="197"/>
    <x v="241"/>
    <x v="1"/>
    <s v="Tete Mensa-Annan"/>
    <s v="Match"/>
  </r>
  <r>
    <n v="284"/>
    <s v="Tete Mensa-Annan"/>
    <s v="Northwest"/>
    <n v="2012"/>
    <n v="3"/>
    <n v="2"/>
    <x v="3"/>
    <n v="7"/>
    <n v="147"/>
    <x v="242"/>
    <x v="1"/>
    <s v="Tete Mensa-Annan"/>
    <s v="Match"/>
  </r>
  <r>
    <n v="279"/>
    <s v="Tsvi Reiter"/>
    <s v="Southeast"/>
    <n v="2012"/>
    <n v="3"/>
    <n v="4"/>
    <x v="0"/>
    <n v="7"/>
    <n v="112"/>
    <x v="243"/>
    <x v="1"/>
    <s v="Tsvi Reiter"/>
    <s v="Match"/>
  </r>
  <r>
    <n v="279"/>
    <s v="Tsvi Reiter"/>
    <s v="Southeast"/>
    <n v="2012"/>
    <n v="3"/>
    <n v="1"/>
    <x v="1"/>
    <n v="28"/>
    <n v="534"/>
    <x v="244"/>
    <x v="1"/>
    <s v="Tsvi Reiter"/>
    <s v="Match"/>
  </r>
  <r>
    <n v="279"/>
    <s v="Tsvi Reiter"/>
    <s v="Southeast"/>
    <n v="2012"/>
    <n v="3"/>
    <n v="3"/>
    <x v="2"/>
    <n v="21"/>
    <n v="571"/>
    <x v="245"/>
    <x v="1"/>
    <s v="Tsvi Reiter"/>
    <s v="Match"/>
  </r>
  <r>
    <n v="279"/>
    <s v="Tsvi Reiter"/>
    <s v="Southeast"/>
    <n v="2012"/>
    <n v="3"/>
    <n v="2"/>
    <x v="3"/>
    <n v="25"/>
    <n v="387"/>
    <x v="246"/>
    <x v="1"/>
    <s v="Tsvi Reiter"/>
    <s v="Match"/>
  </r>
  <r>
    <n v="287"/>
    <s v="Amy Alberts"/>
    <s v="Unassigned"/>
    <n v="2012"/>
    <n v="4"/>
    <n v="1"/>
    <x v="1"/>
    <n v="2"/>
    <n v="25"/>
    <x v="247"/>
    <x v="1"/>
    <s v="Amy Alberts"/>
    <s v="Match"/>
  </r>
  <r>
    <n v="287"/>
    <s v="Amy Alberts"/>
    <s v="Unassigned"/>
    <n v="2012"/>
    <n v="4"/>
    <n v="3"/>
    <x v="2"/>
    <n v="2"/>
    <n v="18"/>
    <x v="248"/>
    <x v="1"/>
    <s v="Amy Alberts"/>
    <s v="Match"/>
  </r>
  <r>
    <n v="287"/>
    <s v="Amy Alberts"/>
    <s v="Unassigned"/>
    <n v="2012"/>
    <n v="4"/>
    <n v="2"/>
    <x v="3"/>
    <n v="1"/>
    <n v="13"/>
    <x v="249"/>
    <x v="1"/>
    <s v="Amy Alberts"/>
    <s v="Match"/>
  </r>
  <r>
    <n v="283"/>
    <s v="David Campbell"/>
    <s v="Northwest"/>
    <n v="2012"/>
    <n v="4"/>
    <n v="4"/>
    <x v="0"/>
    <n v="1"/>
    <n v="20"/>
    <x v="250"/>
    <x v="2"/>
    <s v="David Campbell"/>
    <s v="Match"/>
  </r>
  <r>
    <n v="283"/>
    <s v="David Campbell"/>
    <s v="Northwest"/>
    <n v="2012"/>
    <n v="4"/>
    <n v="1"/>
    <x v="1"/>
    <n v="11"/>
    <n v="214"/>
    <x v="251"/>
    <x v="2"/>
    <s v="David Campbell"/>
    <s v="Match"/>
  </r>
  <r>
    <n v="283"/>
    <s v="David Campbell"/>
    <s v="Northwest"/>
    <n v="2012"/>
    <n v="4"/>
    <n v="3"/>
    <x v="2"/>
    <n v="8"/>
    <n v="141"/>
    <x v="252"/>
    <x v="2"/>
    <s v="David Campbell"/>
    <s v="Match"/>
  </r>
  <r>
    <n v="283"/>
    <s v="David Campbell"/>
    <s v="Northwest"/>
    <n v="2012"/>
    <n v="4"/>
    <n v="2"/>
    <x v="3"/>
    <n v="10"/>
    <n v="84"/>
    <x v="253"/>
    <x v="2"/>
    <s v="David Campbell"/>
    <s v="Match"/>
  </r>
  <r>
    <n v="278"/>
    <s v="Garrett Vargas"/>
    <s v="Canada"/>
    <n v="2012"/>
    <n v="4"/>
    <n v="4"/>
    <x v="0"/>
    <n v="7"/>
    <n v="84"/>
    <x v="254"/>
    <x v="1"/>
    <s v="Garrett Vargas"/>
    <s v="Match"/>
  </r>
  <r>
    <n v="278"/>
    <s v="Garrett Vargas"/>
    <s v="Canada"/>
    <n v="2012"/>
    <n v="4"/>
    <n v="1"/>
    <x v="1"/>
    <n v="16"/>
    <n v="245"/>
    <x v="255"/>
    <x v="1"/>
    <s v="Garrett Vargas"/>
    <s v="Match"/>
  </r>
  <r>
    <n v="278"/>
    <s v="Garrett Vargas"/>
    <s v="Canada"/>
    <n v="2012"/>
    <n v="4"/>
    <n v="3"/>
    <x v="2"/>
    <n v="12"/>
    <n v="306"/>
    <x v="256"/>
    <x v="1"/>
    <s v="Garrett Vargas"/>
    <s v="Match"/>
  </r>
  <r>
    <n v="278"/>
    <s v="Garrett Vargas"/>
    <s v="Canada"/>
    <n v="2012"/>
    <n v="4"/>
    <n v="2"/>
    <x v="3"/>
    <n v="12"/>
    <n v="92"/>
    <x v="257"/>
    <x v="1"/>
    <s v="Garrett Vargas"/>
    <s v="Match"/>
  </r>
  <r>
    <n v="289"/>
    <s v="Jae Pak"/>
    <s v="United Kingdom"/>
    <n v="2012"/>
    <n v="4"/>
    <n v="4"/>
    <x v="0"/>
    <n v="16"/>
    <n v="232"/>
    <x v="258"/>
    <x v="1"/>
    <s v="Jae Pak"/>
    <s v="Match"/>
  </r>
  <r>
    <n v="289"/>
    <s v="Jae Pak"/>
    <s v="United Kingdom"/>
    <n v="2012"/>
    <n v="4"/>
    <n v="1"/>
    <x v="1"/>
    <n v="32"/>
    <n v="890"/>
    <x v="259"/>
    <x v="1"/>
    <s v="Jae Pak"/>
    <s v="Match"/>
  </r>
  <r>
    <n v="289"/>
    <s v="Jae Pak"/>
    <s v="United Kingdom"/>
    <n v="2012"/>
    <n v="4"/>
    <n v="3"/>
    <x v="2"/>
    <n v="32"/>
    <n v="760"/>
    <x v="260"/>
    <x v="1"/>
    <s v="Jae Pak"/>
    <s v="Match"/>
  </r>
  <r>
    <n v="289"/>
    <s v="Jae Pak"/>
    <s v="United Kingdom"/>
    <n v="2012"/>
    <n v="4"/>
    <n v="2"/>
    <x v="3"/>
    <n v="28"/>
    <n v="532"/>
    <x v="261"/>
    <x v="1"/>
    <s v="Jae Pak"/>
    <s v="Match"/>
  </r>
  <r>
    <n v="277"/>
    <s v="Jillian Carson"/>
    <s v="Central"/>
    <n v="2012"/>
    <n v="4"/>
    <n v="4"/>
    <x v="0"/>
    <n v="15"/>
    <n v="193"/>
    <x v="262"/>
    <x v="2"/>
    <s v="Jillian Carson"/>
    <s v="Match"/>
  </r>
  <r>
    <n v="277"/>
    <s v="Jillian Carson"/>
    <s v="Central"/>
    <n v="2012"/>
    <n v="4"/>
    <n v="1"/>
    <x v="1"/>
    <n v="42"/>
    <n v="989"/>
    <x v="263"/>
    <x v="2"/>
    <s v="Jillian Carson"/>
    <s v="Match"/>
  </r>
  <r>
    <n v="277"/>
    <s v="Jillian Carson"/>
    <s v="Central"/>
    <n v="2012"/>
    <n v="4"/>
    <n v="3"/>
    <x v="2"/>
    <n v="31"/>
    <n v="792"/>
    <x v="264"/>
    <x v="2"/>
    <s v="Jillian Carson"/>
    <s v="Match"/>
  </r>
  <r>
    <n v="277"/>
    <s v="Jillian Carson"/>
    <s v="Central"/>
    <n v="2012"/>
    <n v="4"/>
    <n v="2"/>
    <x v="3"/>
    <n v="33"/>
    <n v="460"/>
    <x v="265"/>
    <x v="2"/>
    <s v="Jillian Carson"/>
    <s v="Match"/>
  </r>
  <r>
    <n v="282"/>
    <s v="José Saraiva"/>
    <s v="Canada"/>
    <n v="2012"/>
    <n v="4"/>
    <n v="4"/>
    <x v="0"/>
    <n v="5"/>
    <n v="47"/>
    <x v="266"/>
    <x v="2"/>
    <s v="José Saraiva"/>
    <s v="Match"/>
  </r>
  <r>
    <n v="282"/>
    <s v="José Saraiva"/>
    <s v="Canada"/>
    <n v="2012"/>
    <n v="4"/>
    <n v="1"/>
    <x v="1"/>
    <n v="14"/>
    <n v="321"/>
    <x v="267"/>
    <x v="2"/>
    <s v="José Saraiva"/>
    <s v="Match"/>
  </r>
  <r>
    <n v="282"/>
    <s v="José Saraiva"/>
    <s v="Canada"/>
    <n v="2012"/>
    <n v="4"/>
    <n v="3"/>
    <x v="2"/>
    <n v="10"/>
    <n v="226"/>
    <x v="268"/>
    <x v="2"/>
    <s v="José Saraiva"/>
    <s v="Match"/>
  </r>
  <r>
    <n v="282"/>
    <s v="José Saraiva"/>
    <s v="Canada"/>
    <n v="2012"/>
    <n v="4"/>
    <n v="2"/>
    <x v="3"/>
    <n v="7"/>
    <n v="155"/>
    <x v="269"/>
    <x v="2"/>
    <s v="José Saraiva"/>
    <s v="Match"/>
  </r>
  <r>
    <n v="276"/>
    <s v="Linda Mitchell"/>
    <s v="Southwest"/>
    <n v="2012"/>
    <n v="4"/>
    <n v="4"/>
    <x v="0"/>
    <n v="13"/>
    <n v="179"/>
    <x v="270"/>
    <x v="2"/>
    <s v="Linda Mitchell"/>
    <s v="Match"/>
  </r>
  <r>
    <n v="276"/>
    <s v="Linda Mitchell"/>
    <s v="Southwest"/>
    <n v="2012"/>
    <n v="4"/>
    <n v="1"/>
    <x v="1"/>
    <n v="34"/>
    <n v="920"/>
    <x v="271"/>
    <x v="2"/>
    <s v="Linda Mitchell"/>
    <s v="Match"/>
  </r>
  <r>
    <n v="276"/>
    <s v="Linda Mitchell"/>
    <s v="Southwest"/>
    <n v="2012"/>
    <n v="4"/>
    <n v="3"/>
    <x v="2"/>
    <n v="23"/>
    <n v="775"/>
    <x v="272"/>
    <x v="2"/>
    <s v="Linda Mitchell"/>
    <s v="Match"/>
  </r>
  <r>
    <n v="276"/>
    <s v="Linda Mitchell"/>
    <s v="Southwest"/>
    <n v="2012"/>
    <n v="4"/>
    <n v="2"/>
    <x v="3"/>
    <n v="25"/>
    <n v="394"/>
    <x v="273"/>
    <x v="2"/>
    <s v="Linda Mitchell"/>
    <s v="Match"/>
  </r>
  <r>
    <n v="275"/>
    <s v="Michael Blythe"/>
    <s v="Northeast"/>
    <n v="2012"/>
    <n v="4"/>
    <n v="4"/>
    <x v="0"/>
    <n v="10"/>
    <n v="94"/>
    <x v="274"/>
    <x v="1"/>
    <s v="Michael Blythe"/>
    <s v="Match"/>
  </r>
  <r>
    <n v="275"/>
    <s v="Michael Blythe"/>
    <s v="Northeast"/>
    <n v="2012"/>
    <n v="4"/>
    <n v="1"/>
    <x v="1"/>
    <n v="26"/>
    <n v="738"/>
    <x v="275"/>
    <x v="1"/>
    <s v="Michael Blythe"/>
    <s v="Match"/>
  </r>
  <r>
    <n v="275"/>
    <s v="Michael Blythe"/>
    <s v="Northeast"/>
    <n v="2012"/>
    <n v="4"/>
    <n v="3"/>
    <x v="2"/>
    <n v="15"/>
    <n v="351"/>
    <x v="276"/>
    <x v="1"/>
    <s v="Michael Blythe"/>
    <s v="Match"/>
  </r>
  <r>
    <n v="275"/>
    <s v="Michael Blythe"/>
    <s v="Northeast"/>
    <n v="2012"/>
    <n v="4"/>
    <n v="2"/>
    <x v="3"/>
    <n v="17"/>
    <n v="294"/>
    <x v="277"/>
    <x v="1"/>
    <s v="Michael Blythe"/>
    <s v="Match"/>
  </r>
  <r>
    <n v="280"/>
    <s v="Pamela Ansman-Wolfe"/>
    <s v="Northwest"/>
    <n v="2012"/>
    <n v="4"/>
    <n v="4"/>
    <x v="0"/>
    <n v="1"/>
    <n v="24"/>
    <x v="278"/>
    <x v="1"/>
    <s v="Pamela Ansman-Wolfe"/>
    <s v="Match"/>
  </r>
  <r>
    <n v="280"/>
    <s v="Pamela Ansman-Wolfe"/>
    <s v="Northwest"/>
    <n v="2012"/>
    <n v="4"/>
    <n v="1"/>
    <x v="1"/>
    <n v="3"/>
    <n v="92"/>
    <x v="279"/>
    <x v="1"/>
    <s v="Pamela Ansman-Wolfe"/>
    <s v="Match"/>
  </r>
  <r>
    <n v="280"/>
    <s v="Pamela Ansman-Wolfe"/>
    <s v="Northwest"/>
    <n v="2012"/>
    <n v="4"/>
    <n v="3"/>
    <x v="2"/>
    <n v="3"/>
    <n v="113"/>
    <x v="280"/>
    <x v="1"/>
    <s v="Pamela Ansman-Wolfe"/>
    <s v="Match"/>
  </r>
  <r>
    <n v="280"/>
    <s v="Pamela Ansman-Wolfe"/>
    <s v="Northwest"/>
    <n v="2012"/>
    <n v="4"/>
    <n v="2"/>
    <x v="3"/>
    <n v="3"/>
    <n v="71"/>
    <x v="281"/>
    <x v="1"/>
    <s v="Pamela Ansman-Wolfe"/>
    <s v="Match"/>
  </r>
  <r>
    <n v="290"/>
    <s v="Ranjit Varkey Chudukatil"/>
    <s v="France"/>
    <n v="2012"/>
    <n v="4"/>
    <n v="4"/>
    <x v="0"/>
    <n v="5"/>
    <n v="62"/>
    <x v="282"/>
    <x v="2"/>
    <s v="Ranjit Varkey Chudukatil"/>
    <s v="Match"/>
  </r>
  <r>
    <n v="290"/>
    <s v="Ranjit Varkey Chudukatil"/>
    <s v="France"/>
    <n v="2012"/>
    <n v="4"/>
    <n v="1"/>
    <x v="1"/>
    <n v="13"/>
    <n v="240"/>
    <x v="283"/>
    <x v="2"/>
    <s v="Ranjit Varkey Chudukatil"/>
    <s v="Match"/>
  </r>
  <r>
    <n v="290"/>
    <s v="Ranjit Varkey Chudukatil"/>
    <s v="France"/>
    <n v="2012"/>
    <n v="4"/>
    <n v="3"/>
    <x v="2"/>
    <n v="10"/>
    <n v="232"/>
    <x v="284"/>
    <x v="2"/>
    <s v="Ranjit Varkey Chudukatil"/>
    <s v="Match"/>
  </r>
  <r>
    <n v="290"/>
    <s v="Ranjit Varkey Chudukatil"/>
    <s v="France"/>
    <n v="2012"/>
    <n v="4"/>
    <n v="2"/>
    <x v="3"/>
    <n v="6"/>
    <n v="143"/>
    <x v="285"/>
    <x v="2"/>
    <s v="Ranjit Varkey Chudukatil"/>
    <s v="Match"/>
  </r>
  <r>
    <n v="281"/>
    <s v="Shu Ito"/>
    <s v="Southwest"/>
    <n v="2012"/>
    <n v="4"/>
    <n v="4"/>
    <x v="0"/>
    <n v="5"/>
    <n v="55"/>
    <x v="286"/>
    <x v="2"/>
    <s v="Shu Ito"/>
    <s v="Match"/>
  </r>
  <r>
    <n v="281"/>
    <s v="Shu Ito"/>
    <s v="Southwest"/>
    <n v="2012"/>
    <n v="4"/>
    <n v="1"/>
    <x v="1"/>
    <n v="19"/>
    <n v="577"/>
    <x v="287"/>
    <x v="2"/>
    <s v="Shu Ito"/>
    <s v="Match"/>
  </r>
  <r>
    <n v="281"/>
    <s v="Shu Ito"/>
    <s v="Southwest"/>
    <n v="2012"/>
    <n v="4"/>
    <n v="3"/>
    <x v="2"/>
    <n v="15"/>
    <n v="300"/>
    <x v="288"/>
    <x v="2"/>
    <s v="Shu Ito"/>
    <s v="Match"/>
  </r>
  <r>
    <n v="281"/>
    <s v="Shu Ito"/>
    <s v="Southwest"/>
    <n v="2012"/>
    <n v="4"/>
    <n v="2"/>
    <x v="3"/>
    <n v="15"/>
    <n v="266"/>
    <x v="289"/>
    <x v="2"/>
    <s v="Shu Ito"/>
    <s v="Match"/>
  </r>
  <r>
    <n v="274"/>
    <s v="Stephen Jiang"/>
    <s v="Unassigned"/>
    <n v="2012"/>
    <n v="4"/>
    <n v="4"/>
    <x v="0"/>
    <n v="2"/>
    <n v="33"/>
    <x v="290"/>
    <x v="2"/>
    <s v="Stephen Jiang"/>
    <s v="Match"/>
  </r>
  <r>
    <n v="274"/>
    <s v="Stephen Jiang"/>
    <s v="Unassigned"/>
    <n v="2012"/>
    <n v="4"/>
    <n v="1"/>
    <x v="1"/>
    <n v="3"/>
    <n v="232"/>
    <x v="291"/>
    <x v="2"/>
    <s v="Stephen Jiang"/>
    <s v="Match"/>
  </r>
  <r>
    <n v="274"/>
    <s v="Stephen Jiang"/>
    <s v="Unassigned"/>
    <n v="2012"/>
    <n v="4"/>
    <n v="3"/>
    <x v="2"/>
    <n v="3"/>
    <n v="90"/>
    <x v="292"/>
    <x v="2"/>
    <s v="Stephen Jiang"/>
    <s v="Match"/>
  </r>
  <r>
    <n v="274"/>
    <s v="Stephen Jiang"/>
    <s v="Unassigned"/>
    <n v="2012"/>
    <n v="4"/>
    <n v="2"/>
    <x v="3"/>
    <n v="3"/>
    <n v="69"/>
    <x v="293"/>
    <x v="2"/>
    <s v="Stephen Jiang"/>
    <s v="Match"/>
  </r>
  <r>
    <n v="284"/>
    <s v="Tete Mensa-Annan"/>
    <s v="Northwest"/>
    <n v="2012"/>
    <n v="4"/>
    <n v="4"/>
    <x v="0"/>
    <n v="3"/>
    <n v="49"/>
    <x v="294"/>
    <x v="1"/>
    <s v="Tete Mensa-Annan"/>
    <s v="Match"/>
  </r>
  <r>
    <n v="284"/>
    <s v="Tete Mensa-Annan"/>
    <s v="Northwest"/>
    <n v="2012"/>
    <n v="4"/>
    <n v="1"/>
    <x v="1"/>
    <n v="13"/>
    <n v="254"/>
    <x v="295"/>
    <x v="1"/>
    <s v="Tete Mensa-Annan"/>
    <s v="Match"/>
  </r>
  <r>
    <n v="284"/>
    <s v="Tete Mensa-Annan"/>
    <s v="Northwest"/>
    <n v="2012"/>
    <n v="4"/>
    <n v="3"/>
    <x v="2"/>
    <n v="9"/>
    <n v="163"/>
    <x v="296"/>
    <x v="1"/>
    <s v="Tete Mensa-Annan"/>
    <s v="Match"/>
  </r>
  <r>
    <n v="284"/>
    <s v="Tete Mensa-Annan"/>
    <s v="Northwest"/>
    <n v="2012"/>
    <n v="4"/>
    <n v="2"/>
    <x v="3"/>
    <n v="8"/>
    <n v="73"/>
    <x v="297"/>
    <x v="1"/>
    <s v="Tete Mensa-Annan"/>
    <s v="Match"/>
  </r>
  <r>
    <n v="279"/>
    <s v="Tsvi Reiter"/>
    <s v="Southeast"/>
    <n v="2012"/>
    <n v="4"/>
    <n v="4"/>
    <x v="0"/>
    <n v="8"/>
    <n v="61"/>
    <x v="298"/>
    <x v="1"/>
    <s v="Tsvi Reiter"/>
    <s v="Match"/>
  </r>
  <r>
    <n v="279"/>
    <s v="Tsvi Reiter"/>
    <s v="Southeast"/>
    <n v="2012"/>
    <n v="4"/>
    <n v="1"/>
    <x v="1"/>
    <n v="27"/>
    <n v="526"/>
    <x v="299"/>
    <x v="1"/>
    <s v="Tsvi Reiter"/>
    <s v="Match"/>
  </r>
  <r>
    <n v="279"/>
    <s v="Tsvi Reiter"/>
    <s v="Southeast"/>
    <n v="2012"/>
    <n v="4"/>
    <n v="3"/>
    <x v="2"/>
    <n v="19"/>
    <n v="299"/>
    <x v="300"/>
    <x v="1"/>
    <s v="Tsvi Reiter"/>
    <s v="Match"/>
  </r>
  <r>
    <n v="279"/>
    <s v="Tsvi Reiter"/>
    <s v="Southeast"/>
    <n v="2012"/>
    <n v="4"/>
    <n v="2"/>
    <x v="3"/>
    <n v="19"/>
    <n v="181"/>
    <x v="301"/>
    <x v="1"/>
    <s v="Tsvi Reiter"/>
    <s v="Match"/>
  </r>
  <r>
    <n v="287"/>
    <s v="Amy Alberts"/>
    <s v="Unassigned"/>
    <n v="2013"/>
    <n v="1"/>
    <n v="4"/>
    <x v="0"/>
    <n v="1"/>
    <n v="18"/>
    <x v="302"/>
    <x v="1"/>
    <s v="Amy Alberts"/>
    <s v="Match"/>
  </r>
  <r>
    <n v="287"/>
    <s v="Amy Alberts"/>
    <s v="Unassigned"/>
    <n v="2013"/>
    <n v="1"/>
    <n v="1"/>
    <x v="1"/>
    <n v="3"/>
    <n v="55"/>
    <x v="303"/>
    <x v="1"/>
    <s v="Amy Alberts"/>
    <s v="Match"/>
  </r>
  <r>
    <n v="287"/>
    <s v="Amy Alberts"/>
    <s v="Unassigned"/>
    <n v="2013"/>
    <n v="1"/>
    <n v="3"/>
    <x v="2"/>
    <n v="2"/>
    <n v="28"/>
    <x v="304"/>
    <x v="1"/>
    <s v="Amy Alberts"/>
    <s v="Match"/>
  </r>
  <r>
    <n v="287"/>
    <s v="Amy Alberts"/>
    <s v="Unassigned"/>
    <n v="2013"/>
    <n v="1"/>
    <n v="2"/>
    <x v="3"/>
    <n v="1"/>
    <n v="19"/>
    <x v="305"/>
    <x v="1"/>
    <s v="Amy Alberts"/>
    <s v="Match"/>
  </r>
  <r>
    <n v="283"/>
    <s v="David Campbell"/>
    <s v="Northwest"/>
    <n v="2013"/>
    <n v="1"/>
    <n v="4"/>
    <x v="0"/>
    <n v="3"/>
    <n v="48"/>
    <x v="306"/>
    <x v="1"/>
    <s v="David Campbell"/>
    <s v="Match"/>
  </r>
  <r>
    <n v="283"/>
    <s v="David Campbell"/>
    <s v="Northwest"/>
    <n v="2013"/>
    <n v="1"/>
    <n v="1"/>
    <x v="1"/>
    <n v="8"/>
    <n v="266"/>
    <x v="307"/>
    <x v="1"/>
    <s v="David Campbell"/>
    <s v="Match"/>
  </r>
  <r>
    <n v="283"/>
    <s v="David Campbell"/>
    <s v="Northwest"/>
    <n v="2013"/>
    <n v="1"/>
    <n v="3"/>
    <x v="2"/>
    <n v="10"/>
    <n v="239"/>
    <x v="308"/>
    <x v="1"/>
    <s v="David Campbell"/>
    <s v="Match"/>
  </r>
  <r>
    <n v="283"/>
    <s v="David Campbell"/>
    <s v="Northwest"/>
    <n v="2013"/>
    <n v="1"/>
    <n v="2"/>
    <x v="3"/>
    <n v="9"/>
    <n v="189"/>
    <x v="309"/>
    <x v="1"/>
    <s v="David Campbell"/>
    <s v="Match"/>
  </r>
  <r>
    <n v="278"/>
    <s v="Garrett Vargas"/>
    <s v="Canada"/>
    <n v="2013"/>
    <n v="1"/>
    <n v="4"/>
    <x v="0"/>
    <n v="6"/>
    <n v="108"/>
    <x v="310"/>
    <x v="1"/>
    <s v="Garrett Vargas"/>
    <s v="Match"/>
  </r>
  <r>
    <n v="278"/>
    <s v="Garrett Vargas"/>
    <s v="Canada"/>
    <n v="2013"/>
    <n v="1"/>
    <n v="1"/>
    <x v="1"/>
    <n v="16"/>
    <n v="357"/>
    <x v="311"/>
    <x v="1"/>
    <s v="Garrett Vargas"/>
    <s v="Match"/>
  </r>
  <r>
    <n v="278"/>
    <s v="Garrett Vargas"/>
    <s v="Canada"/>
    <n v="2013"/>
    <n v="1"/>
    <n v="3"/>
    <x v="2"/>
    <n v="13"/>
    <n v="403"/>
    <x v="312"/>
    <x v="1"/>
    <s v="Garrett Vargas"/>
    <s v="Match"/>
  </r>
  <r>
    <n v="278"/>
    <s v="Garrett Vargas"/>
    <s v="Canada"/>
    <n v="2013"/>
    <n v="1"/>
    <n v="2"/>
    <x v="3"/>
    <n v="15"/>
    <n v="145"/>
    <x v="313"/>
    <x v="1"/>
    <s v="Garrett Vargas"/>
    <s v="Match"/>
  </r>
  <r>
    <n v="289"/>
    <s v="Jae Pak"/>
    <s v="United Kingdom"/>
    <n v="2013"/>
    <n v="1"/>
    <n v="4"/>
    <x v="0"/>
    <n v="15"/>
    <n v="215"/>
    <x v="314"/>
    <x v="1"/>
    <s v="Jae Pak"/>
    <s v="Match"/>
  </r>
  <r>
    <n v="289"/>
    <s v="Jae Pak"/>
    <s v="United Kingdom"/>
    <n v="2013"/>
    <n v="1"/>
    <n v="1"/>
    <x v="1"/>
    <n v="36"/>
    <n v="992"/>
    <x v="315"/>
    <x v="1"/>
    <s v="Jae Pak"/>
    <s v="Match"/>
  </r>
  <r>
    <n v="289"/>
    <s v="Jae Pak"/>
    <s v="United Kingdom"/>
    <n v="2013"/>
    <n v="1"/>
    <n v="3"/>
    <x v="2"/>
    <n v="33"/>
    <n v="839"/>
    <x v="316"/>
    <x v="1"/>
    <s v="Jae Pak"/>
    <s v="Match"/>
  </r>
  <r>
    <n v="289"/>
    <s v="Jae Pak"/>
    <s v="United Kingdom"/>
    <n v="2013"/>
    <n v="1"/>
    <n v="2"/>
    <x v="3"/>
    <n v="21"/>
    <n v="570"/>
    <x v="317"/>
    <x v="1"/>
    <s v="Jae Pak"/>
    <s v="Match"/>
  </r>
  <r>
    <n v="277"/>
    <s v="Jillian Carson"/>
    <s v="Central"/>
    <n v="2013"/>
    <n v="1"/>
    <n v="4"/>
    <x v="0"/>
    <n v="14"/>
    <n v="231"/>
    <x v="318"/>
    <x v="1"/>
    <s v="Jillian Carson"/>
    <s v="Match"/>
  </r>
  <r>
    <n v="277"/>
    <s v="Jillian Carson"/>
    <s v="Central"/>
    <n v="2013"/>
    <n v="1"/>
    <n v="1"/>
    <x v="1"/>
    <n v="36"/>
    <n v="1021"/>
    <x v="319"/>
    <x v="1"/>
    <s v="Jillian Carson"/>
    <s v="Match"/>
  </r>
  <r>
    <n v="277"/>
    <s v="Jillian Carson"/>
    <s v="Central"/>
    <n v="2013"/>
    <n v="1"/>
    <n v="3"/>
    <x v="2"/>
    <n v="27"/>
    <n v="772"/>
    <x v="320"/>
    <x v="1"/>
    <s v="Jillian Carson"/>
    <s v="Match"/>
  </r>
  <r>
    <n v="277"/>
    <s v="Jillian Carson"/>
    <s v="Central"/>
    <n v="2013"/>
    <n v="1"/>
    <n v="2"/>
    <x v="3"/>
    <n v="33"/>
    <n v="570"/>
    <x v="321"/>
    <x v="1"/>
    <s v="Jillian Carson"/>
    <s v="Match"/>
  </r>
  <r>
    <n v="282"/>
    <s v="José Saraiva"/>
    <s v="Canada"/>
    <n v="2013"/>
    <n v="1"/>
    <n v="4"/>
    <x v="0"/>
    <n v="5"/>
    <n v="81"/>
    <x v="322"/>
    <x v="1"/>
    <s v="José Saraiva"/>
    <s v="Match"/>
  </r>
  <r>
    <n v="282"/>
    <s v="José Saraiva"/>
    <s v="Canada"/>
    <n v="2013"/>
    <n v="1"/>
    <n v="1"/>
    <x v="1"/>
    <n v="12"/>
    <n v="229"/>
    <x v="323"/>
    <x v="1"/>
    <s v="José Saraiva"/>
    <s v="Match"/>
  </r>
  <r>
    <n v="282"/>
    <s v="José Saraiva"/>
    <s v="Canada"/>
    <n v="2013"/>
    <n v="1"/>
    <n v="3"/>
    <x v="2"/>
    <n v="11"/>
    <n v="266"/>
    <x v="324"/>
    <x v="1"/>
    <s v="José Saraiva"/>
    <s v="Match"/>
  </r>
  <r>
    <n v="282"/>
    <s v="José Saraiva"/>
    <s v="Canada"/>
    <n v="2013"/>
    <n v="1"/>
    <n v="2"/>
    <x v="3"/>
    <n v="7"/>
    <n v="168"/>
    <x v="325"/>
    <x v="1"/>
    <s v="José Saraiva"/>
    <s v="Match"/>
  </r>
  <r>
    <n v="276"/>
    <s v="Linda Mitchell"/>
    <s v="Southwest"/>
    <n v="2013"/>
    <n v="1"/>
    <n v="4"/>
    <x v="0"/>
    <n v="13"/>
    <n v="268"/>
    <x v="326"/>
    <x v="1"/>
    <s v="Linda Mitchell"/>
    <s v="Match"/>
  </r>
  <r>
    <n v="276"/>
    <s v="Linda Mitchell"/>
    <s v="Southwest"/>
    <n v="2013"/>
    <n v="1"/>
    <n v="1"/>
    <x v="1"/>
    <n v="31"/>
    <n v="848"/>
    <x v="327"/>
    <x v="1"/>
    <s v="Linda Mitchell"/>
    <s v="Match"/>
  </r>
  <r>
    <n v="276"/>
    <s v="Linda Mitchell"/>
    <s v="Southwest"/>
    <n v="2013"/>
    <n v="1"/>
    <n v="3"/>
    <x v="2"/>
    <n v="22"/>
    <n v="815"/>
    <x v="328"/>
    <x v="1"/>
    <s v="Linda Mitchell"/>
    <s v="Match"/>
  </r>
  <r>
    <n v="276"/>
    <s v="Linda Mitchell"/>
    <s v="Southwest"/>
    <n v="2013"/>
    <n v="1"/>
    <n v="2"/>
    <x v="3"/>
    <n v="32"/>
    <n v="556"/>
    <x v="329"/>
    <x v="1"/>
    <s v="Linda Mitchell"/>
    <s v="Match"/>
  </r>
  <r>
    <n v="275"/>
    <s v="Michael Blythe"/>
    <s v="Northeast"/>
    <n v="2013"/>
    <n v="1"/>
    <n v="4"/>
    <x v="0"/>
    <n v="14"/>
    <n v="171"/>
    <x v="330"/>
    <x v="1"/>
    <s v="Michael Blythe"/>
    <s v="Match"/>
  </r>
  <r>
    <n v="275"/>
    <s v="Michael Blythe"/>
    <s v="Northeast"/>
    <n v="2013"/>
    <n v="1"/>
    <n v="1"/>
    <x v="1"/>
    <n v="31"/>
    <n v="987"/>
    <x v="331"/>
    <x v="1"/>
    <s v="Michael Blythe"/>
    <s v="Match"/>
  </r>
  <r>
    <n v="275"/>
    <s v="Michael Blythe"/>
    <s v="Northeast"/>
    <n v="2013"/>
    <n v="1"/>
    <n v="3"/>
    <x v="2"/>
    <n v="29"/>
    <n v="505"/>
    <x v="332"/>
    <x v="1"/>
    <s v="Michael Blythe"/>
    <s v="Match"/>
  </r>
  <r>
    <n v="275"/>
    <s v="Michael Blythe"/>
    <s v="Northeast"/>
    <n v="2013"/>
    <n v="1"/>
    <n v="2"/>
    <x v="3"/>
    <n v="24"/>
    <n v="516"/>
    <x v="333"/>
    <x v="1"/>
    <s v="Michael Blythe"/>
    <s v="Match"/>
  </r>
  <r>
    <n v="280"/>
    <s v="Pamela Ansman-Wolfe"/>
    <s v="Northwest"/>
    <n v="2013"/>
    <n v="1"/>
    <n v="4"/>
    <x v="0"/>
    <n v="2"/>
    <n v="34"/>
    <x v="334"/>
    <x v="1"/>
    <s v="Pamela Ansman-Wolfe"/>
    <s v="Match"/>
  </r>
  <r>
    <n v="280"/>
    <s v="Pamela Ansman-Wolfe"/>
    <s v="Northwest"/>
    <n v="2013"/>
    <n v="1"/>
    <n v="1"/>
    <x v="1"/>
    <n v="2"/>
    <n v="66"/>
    <x v="335"/>
    <x v="1"/>
    <s v="Pamela Ansman-Wolfe"/>
    <s v="Match"/>
  </r>
  <r>
    <n v="280"/>
    <s v="Pamela Ansman-Wolfe"/>
    <s v="Northwest"/>
    <n v="2013"/>
    <n v="1"/>
    <n v="3"/>
    <x v="2"/>
    <n v="2"/>
    <n v="131"/>
    <x v="336"/>
    <x v="1"/>
    <s v="Pamela Ansman-Wolfe"/>
    <s v="Match"/>
  </r>
  <r>
    <n v="280"/>
    <s v="Pamela Ansman-Wolfe"/>
    <s v="Northwest"/>
    <n v="2013"/>
    <n v="1"/>
    <n v="2"/>
    <x v="3"/>
    <n v="3"/>
    <n v="78"/>
    <x v="337"/>
    <x v="1"/>
    <s v="Pamela Ansman-Wolfe"/>
    <s v="Match"/>
  </r>
  <r>
    <n v="290"/>
    <s v="Ranjit Varkey Chudukatil"/>
    <s v="France"/>
    <n v="2013"/>
    <n v="1"/>
    <n v="4"/>
    <x v="0"/>
    <n v="7"/>
    <n v="95"/>
    <x v="338"/>
    <x v="1"/>
    <s v="Ranjit Varkey Chudukatil"/>
    <s v="Match"/>
  </r>
  <r>
    <n v="290"/>
    <s v="Ranjit Varkey Chudukatil"/>
    <s v="France"/>
    <n v="2013"/>
    <n v="1"/>
    <n v="1"/>
    <x v="1"/>
    <n v="12"/>
    <n v="291"/>
    <x v="339"/>
    <x v="1"/>
    <s v="Ranjit Varkey Chudukatil"/>
    <s v="Match"/>
  </r>
  <r>
    <n v="290"/>
    <s v="Ranjit Varkey Chudukatil"/>
    <s v="France"/>
    <n v="2013"/>
    <n v="1"/>
    <n v="3"/>
    <x v="2"/>
    <n v="13"/>
    <n v="336"/>
    <x v="340"/>
    <x v="1"/>
    <s v="Ranjit Varkey Chudukatil"/>
    <s v="Match"/>
  </r>
  <r>
    <n v="290"/>
    <s v="Ranjit Varkey Chudukatil"/>
    <s v="France"/>
    <n v="2013"/>
    <n v="1"/>
    <n v="2"/>
    <x v="3"/>
    <n v="11"/>
    <n v="217"/>
    <x v="341"/>
    <x v="1"/>
    <s v="Ranjit Varkey Chudukatil"/>
    <s v="Match"/>
  </r>
  <r>
    <n v="281"/>
    <s v="Shu Ito"/>
    <s v="Southwest"/>
    <n v="2013"/>
    <n v="1"/>
    <n v="4"/>
    <x v="0"/>
    <n v="6"/>
    <n v="48"/>
    <x v="342"/>
    <x v="1"/>
    <s v="Shu Ito"/>
    <s v="Match"/>
  </r>
  <r>
    <n v="281"/>
    <s v="Shu Ito"/>
    <s v="Southwest"/>
    <n v="2013"/>
    <n v="1"/>
    <n v="1"/>
    <x v="1"/>
    <n v="18"/>
    <n v="506"/>
    <x v="343"/>
    <x v="1"/>
    <s v="Shu Ito"/>
    <s v="Match"/>
  </r>
  <r>
    <n v="281"/>
    <s v="Shu Ito"/>
    <s v="Southwest"/>
    <n v="2013"/>
    <n v="1"/>
    <n v="3"/>
    <x v="2"/>
    <n v="13"/>
    <n v="240"/>
    <x v="344"/>
    <x v="1"/>
    <s v="Shu Ito"/>
    <s v="Match"/>
  </r>
  <r>
    <n v="281"/>
    <s v="Shu Ito"/>
    <s v="Southwest"/>
    <n v="2013"/>
    <n v="1"/>
    <n v="2"/>
    <x v="3"/>
    <n v="15"/>
    <n v="251"/>
    <x v="345"/>
    <x v="1"/>
    <s v="Shu Ito"/>
    <s v="Match"/>
  </r>
  <r>
    <n v="274"/>
    <s v="Stephen Jiang"/>
    <s v="Unassigned"/>
    <n v="2013"/>
    <n v="1"/>
    <n v="4"/>
    <x v="0"/>
    <n v="1"/>
    <n v="30"/>
    <x v="346"/>
    <x v="1"/>
    <s v="Stephen Jiang"/>
    <s v="Match"/>
  </r>
  <r>
    <n v="274"/>
    <s v="Stephen Jiang"/>
    <s v="Unassigned"/>
    <n v="2013"/>
    <n v="1"/>
    <n v="1"/>
    <x v="1"/>
    <n v="3"/>
    <n v="67"/>
    <x v="347"/>
    <x v="1"/>
    <s v="Stephen Jiang"/>
    <s v="Match"/>
  </r>
  <r>
    <n v="274"/>
    <s v="Stephen Jiang"/>
    <s v="Unassigned"/>
    <n v="2013"/>
    <n v="1"/>
    <n v="3"/>
    <x v="2"/>
    <n v="2"/>
    <n v="83"/>
    <x v="348"/>
    <x v="1"/>
    <s v="Stephen Jiang"/>
    <s v="Match"/>
  </r>
  <r>
    <n v="274"/>
    <s v="Stephen Jiang"/>
    <s v="Unassigned"/>
    <n v="2013"/>
    <n v="1"/>
    <n v="2"/>
    <x v="3"/>
    <n v="2"/>
    <n v="28"/>
    <x v="349"/>
    <x v="1"/>
    <s v="Stephen Jiang"/>
    <s v="Match"/>
  </r>
  <r>
    <n v="284"/>
    <s v="Tete Mensa-Annan"/>
    <s v="Northwest"/>
    <n v="2013"/>
    <n v="1"/>
    <n v="4"/>
    <x v="0"/>
    <n v="4"/>
    <n v="76"/>
    <x v="350"/>
    <x v="1"/>
    <s v="Tete Mensa-Annan"/>
    <s v="Match"/>
  </r>
  <r>
    <n v="284"/>
    <s v="Tete Mensa-Annan"/>
    <s v="Northwest"/>
    <n v="2013"/>
    <n v="1"/>
    <n v="1"/>
    <x v="1"/>
    <n v="12"/>
    <n v="274"/>
    <x v="351"/>
    <x v="1"/>
    <s v="Tete Mensa-Annan"/>
    <s v="Match"/>
  </r>
  <r>
    <n v="284"/>
    <s v="Tete Mensa-Annan"/>
    <s v="Northwest"/>
    <n v="2013"/>
    <n v="1"/>
    <n v="3"/>
    <x v="2"/>
    <n v="10"/>
    <n v="236"/>
    <x v="352"/>
    <x v="1"/>
    <s v="Tete Mensa-Annan"/>
    <s v="Match"/>
  </r>
  <r>
    <n v="284"/>
    <s v="Tete Mensa-Annan"/>
    <s v="Northwest"/>
    <n v="2013"/>
    <n v="1"/>
    <n v="2"/>
    <x v="3"/>
    <n v="9"/>
    <n v="147"/>
    <x v="353"/>
    <x v="1"/>
    <s v="Tete Mensa-Annan"/>
    <s v="Match"/>
  </r>
  <r>
    <n v="279"/>
    <s v="Tsvi Reiter"/>
    <s v="Southeast"/>
    <n v="2013"/>
    <n v="1"/>
    <n v="4"/>
    <x v="0"/>
    <n v="9"/>
    <n v="114"/>
    <x v="354"/>
    <x v="1"/>
    <s v="Tsvi Reiter"/>
    <s v="Match"/>
  </r>
  <r>
    <n v="279"/>
    <s v="Tsvi Reiter"/>
    <s v="Southeast"/>
    <n v="2013"/>
    <n v="1"/>
    <n v="1"/>
    <x v="1"/>
    <n v="27"/>
    <n v="526"/>
    <x v="355"/>
    <x v="1"/>
    <s v="Tsvi Reiter"/>
    <s v="Match"/>
  </r>
  <r>
    <n v="279"/>
    <s v="Tsvi Reiter"/>
    <s v="Southeast"/>
    <n v="2013"/>
    <n v="1"/>
    <n v="3"/>
    <x v="2"/>
    <n v="24"/>
    <n v="538"/>
    <x v="356"/>
    <x v="1"/>
    <s v="Tsvi Reiter"/>
    <s v="Match"/>
  </r>
  <r>
    <n v="279"/>
    <s v="Tsvi Reiter"/>
    <s v="Southeast"/>
    <n v="2013"/>
    <n v="1"/>
    <n v="2"/>
    <x v="3"/>
    <n v="26"/>
    <n v="296"/>
    <x v="357"/>
    <x v="1"/>
    <s v="Tsvi Reiter"/>
    <s v="Match"/>
  </r>
  <r>
    <n v="287"/>
    <s v="Amy Alberts"/>
    <s v="Unassigned"/>
    <n v="2013"/>
    <n v="2"/>
    <n v="4"/>
    <x v="0"/>
    <n v="3"/>
    <n v="126"/>
    <x v="358"/>
    <x v="1"/>
    <s v="Amy Alberts"/>
    <s v="Match"/>
  </r>
  <r>
    <n v="287"/>
    <s v="Amy Alberts"/>
    <s v="Unassigned"/>
    <n v="2013"/>
    <n v="2"/>
    <n v="1"/>
    <x v="1"/>
    <n v="7"/>
    <n v="164"/>
    <x v="359"/>
    <x v="1"/>
    <s v="Amy Alberts"/>
    <s v="Match"/>
  </r>
  <r>
    <n v="287"/>
    <s v="Amy Alberts"/>
    <s v="Unassigned"/>
    <n v="2013"/>
    <n v="2"/>
    <n v="3"/>
    <x v="2"/>
    <n v="5"/>
    <n v="188"/>
    <x v="360"/>
    <x v="1"/>
    <s v="Amy Alberts"/>
    <s v="Match"/>
  </r>
  <r>
    <n v="287"/>
    <s v="Amy Alberts"/>
    <s v="Unassigned"/>
    <n v="2013"/>
    <n v="2"/>
    <n v="2"/>
    <x v="3"/>
    <n v="7"/>
    <n v="93"/>
    <x v="361"/>
    <x v="1"/>
    <s v="Amy Alberts"/>
    <s v="Match"/>
  </r>
  <r>
    <n v="283"/>
    <s v="David Campbell"/>
    <s v="Northwest"/>
    <n v="2013"/>
    <n v="2"/>
    <n v="4"/>
    <x v="0"/>
    <n v="3"/>
    <n v="100"/>
    <x v="362"/>
    <x v="1"/>
    <s v="David Campbell"/>
    <s v="Match"/>
  </r>
  <r>
    <n v="283"/>
    <s v="David Campbell"/>
    <s v="Northwest"/>
    <n v="2013"/>
    <n v="2"/>
    <n v="1"/>
    <x v="1"/>
    <n v="11"/>
    <n v="287"/>
    <x v="363"/>
    <x v="1"/>
    <s v="David Campbell"/>
    <s v="Match"/>
  </r>
  <r>
    <n v="283"/>
    <s v="David Campbell"/>
    <s v="Northwest"/>
    <n v="2013"/>
    <n v="2"/>
    <n v="3"/>
    <x v="2"/>
    <n v="6"/>
    <n v="256"/>
    <x v="364"/>
    <x v="1"/>
    <s v="David Campbell"/>
    <s v="Match"/>
  </r>
  <r>
    <n v="283"/>
    <s v="David Campbell"/>
    <s v="Northwest"/>
    <n v="2013"/>
    <n v="2"/>
    <n v="2"/>
    <x v="3"/>
    <n v="8"/>
    <n v="364"/>
    <x v="365"/>
    <x v="1"/>
    <s v="David Campbell"/>
    <s v="Match"/>
  </r>
  <r>
    <n v="278"/>
    <s v="Garrett Vargas"/>
    <s v="Canada"/>
    <n v="2013"/>
    <n v="2"/>
    <n v="4"/>
    <x v="0"/>
    <n v="10"/>
    <n v="305"/>
    <x v="366"/>
    <x v="1"/>
    <s v="Garrett Vargas"/>
    <s v="Match"/>
  </r>
  <r>
    <n v="278"/>
    <s v="Garrett Vargas"/>
    <s v="Canada"/>
    <n v="2013"/>
    <n v="2"/>
    <n v="1"/>
    <x v="1"/>
    <n v="18"/>
    <n v="352"/>
    <x v="367"/>
    <x v="1"/>
    <s v="Garrett Vargas"/>
    <s v="Match"/>
  </r>
  <r>
    <n v="278"/>
    <s v="Garrett Vargas"/>
    <s v="Canada"/>
    <n v="2013"/>
    <n v="2"/>
    <n v="3"/>
    <x v="2"/>
    <n v="16"/>
    <n v="661"/>
    <x v="368"/>
    <x v="1"/>
    <s v="Garrett Vargas"/>
    <s v="Match"/>
  </r>
  <r>
    <n v="278"/>
    <s v="Garrett Vargas"/>
    <s v="Canada"/>
    <n v="2013"/>
    <n v="2"/>
    <n v="2"/>
    <x v="3"/>
    <n v="17"/>
    <n v="277"/>
    <x v="369"/>
    <x v="1"/>
    <s v="Garrett Vargas"/>
    <s v="Match"/>
  </r>
  <r>
    <n v="289"/>
    <s v="Jae Pak"/>
    <s v="United Kingdom"/>
    <n v="2013"/>
    <n v="2"/>
    <n v="4"/>
    <x v="0"/>
    <n v="19"/>
    <n v="520"/>
    <x v="370"/>
    <x v="1"/>
    <s v="Jae Pak"/>
    <s v="Match"/>
  </r>
  <r>
    <n v="289"/>
    <s v="Jae Pak"/>
    <s v="United Kingdom"/>
    <n v="2013"/>
    <n v="2"/>
    <n v="1"/>
    <x v="1"/>
    <n v="33"/>
    <n v="979"/>
    <x v="371"/>
    <x v="1"/>
    <s v="Jae Pak"/>
    <s v="Match"/>
  </r>
  <r>
    <n v="289"/>
    <s v="Jae Pak"/>
    <s v="United Kingdom"/>
    <n v="2013"/>
    <n v="2"/>
    <n v="3"/>
    <x v="2"/>
    <n v="33"/>
    <n v="1292"/>
    <x v="372"/>
    <x v="1"/>
    <s v="Jae Pak"/>
    <s v="Match"/>
  </r>
  <r>
    <n v="289"/>
    <s v="Jae Pak"/>
    <s v="United Kingdom"/>
    <n v="2013"/>
    <n v="2"/>
    <n v="2"/>
    <x v="3"/>
    <n v="32"/>
    <n v="1162"/>
    <x v="373"/>
    <x v="1"/>
    <s v="Jae Pak"/>
    <s v="Match"/>
  </r>
  <r>
    <n v="277"/>
    <s v="Jillian Carson"/>
    <s v="Central"/>
    <n v="2013"/>
    <n v="2"/>
    <n v="4"/>
    <x v="0"/>
    <n v="17"/>
    <n v="553"/>
    <x v="374"/>
    <x v="1"/>
    <s v="Jillian Carson"/>
    <s v="Match"/>
  </r>
  <r>
    <n v="277"/>
    <s v="Jillian Carson"/>
    <s v="Central"/>
    <n v="2013"/>
    <n v="2"/>
    <n v="1"/>
    <x v="1"/>
    <n v="35"/>
    <n v="840"/>
    <x v="375"/>
    <x v="1"/>
    <s v="Jillian Carson"/>
    <s v="Match"/>
  </r>
  <r>
    <n v="277"/>
    <s v="Jillian Carson"/>
    <s v="Central"/>
    <n v="2013"/>
    <n v="2"/>
    <n v="3"/>
    <x v="2"/>
    <n v="29"/>
    <n v="1229"/>
    <x v="376"/>
    <x v="1"/>
    <s v="Jillian Carson"/>
    <s v="Match"/>
  </r>
  <r>
    <n v="277"/>
    <s v="Jillian Carson"/>
    <s v="Central"/>
    <n v="2013"/>
    <n v="2"/>
    <n v="2"/>
    <x v="3"/>
    <n v="39"/>
    <n v="874"/>
    <x v="377"/>
    <x v="1"/>
    <s v="Jillian Carson"/>
    <s v="Match"/>
  </r>
  <r>
    <n v="282"/>
    <s v="José Saraiva"/>
    <s v="Canada"/>
    <n v="2013"/>
    <n v="2"/>
    <n v="4"/>
    <x v="0"/>
    <n v="7"/>
    <n v="287"/>
    <x v="378"/>
    <x v="1"/>
    <s v="José Saraiva"/>
    <s v="Match"/>
  </r>
  <r>
    <n v="282"/>
    <s v="José Saraiva"/>
    <s v="Canada"/>
    <n v="2013"/>
    <n v="2"/>
    <n v="1"/>
    <x v="1"/>
    <n v="14"/>
    <n v="363"/>
    <x v="379"/>
    <x v="1"/>
    <s v="José Saraiva"/>
    <s v="Match"/>
  </r>
  <r>
    <n v="282"/>
    <s v="José Saraiva"/>
    <s v="Canada"/>
    <n v="2013"/>
    <n v="2"/>
    <n v="3"/>
    <x v="2"/>
    <n v="15"/>
    <n v="589"/>
    <x v="380"/>
    <x v="1"/>
    <s v="José Saraiva"/>
    <s v="Match"/>
  </r>
  <r>
    <n v="282"/>
    <s v="José Saraiva"/>
    <s v="Canada"/>
    <n v="2013"/>
    <n v="2"/>
    <n v="2"/>
    <x v="3"/>
    <n v="18"/>
    <n v="424"/>
    <x v="381"/>
    <x v="1"/>
    <s v="José Saraiva"/>
    <s v="Match"/>
  </r>
  <r>
    <n v="276"/>
    <s v="Linda Mitchell"/>
    <s v="Southwest"/>
    <n v="2013"/>
    <n v="2"/>
    <n v="4"/>
    <x v="0"/>
    <n v="14"/>
    <n v="560"/>
    <x v="382"/>
    <x v="1"/>
    <s v="Linda Mitchell"/>
    <s v="Match"/>
  </r>
  <r>
    <n v="276"/>
    <s v="Linda Mitchell"/>
    <s v="Southwest"/>
    <n v="2013"/>
    <n v="2"/>
    <n v="1"/>
    <x v="1"/>
    <n v="31"/>
    <n v="1164"/>
    <x v="383"/>
    <x v="1"/>
    <s v="Linda Mitchell"/>
    <s v="Match"/>
  </r>
  <r>
    <n v="276"/>
    <s v="Linda Mitchell"/>
    <s v="Southwest"/>
    <n v="2013"/>
    <n v="2"/>
    <n v="3"/>
    <x v="2"/>
    <n v="22"/>
    <n v="1377"/>
    <x v="384"/>
    <x v="1"/>
    <s v="Linda Mitchell"/>
    <s v="Match"/>
  </r>
  <r>
    <n v="276"/>
    <s v="Linda Mitchell"/>
    <s v="Southwest"/>
    <n v="2013"/>
    <n v="2"/>
    <n v="2"/>
    <x v="3"/>
    <n v="32"/>
    <n v="1084"/>
    <x v="385"/>
    <x v="1"/>
    <s v="Linda Mitchell"/>
    <s v="Match"/>
  </r>
  <r>
    <n v="286"/>
    <s v="Lynn Tsoflias"/>
    <s v="Australia"/>
    <n v="2013"/>
    <n v="2"/>
    <n v="4"/>
    <x v="0"/>
    <n v="2"/>
    <n v="73"/>
    <x v="386"/>
    <x v="1"/>
    <s v="Lynn Tsoflias"/>
    <s v="Match"/>
  </r>
  <r>
    <n v="286"/>
    <s v="Lynn Tsoflias"/>
    <s v="Australia"/>
    <n v="2013"/>
    <n v="2"/>
    <n v="1"/>
    <x v="1"/>
    <n v="14"/>
    <n v="198"/>
    <x v="387"/>
    <x v="1"/>
    <s v="Lynn Tsoflias"/>
    <s v="Match"/>
  </r>
  <r>
    <n v="286"/>
    <s v="Lynn Tsoflias"/>
    <s v="Australia"/>
    <n v="2013"/>
    <n v="2"/>
    <n v="3"/>
    <x v="2"/>
    <n v="8"/>
    <n v="122"/>
    <x v="388"/>
    <x v="1"/>
    <s v="Lynn Tsoflias"/>
    <s v="Match"/>
  </r>
  <r>
    <n v="286"/>
    <s v="Lynn Tsoflias"/>
    <s v="Australia"/>
    <n v="2013"/>
    <n v="2"/>
    <n v="2"/>
    <x v="3"/>
    <n v="13"/>
    <n v="146"/>
    <x v="389"/>
    <x v="1"/>
    <s v="Lynn Tsoflias"/>
    <s v="Match"/>
  </r>
  <r>
    <n v="275"/>
    <s v="Michael Blythe"/>
    <s v="Northeast"/>
    <n v="2013"/>
    <n v="2"/>
    <n v="4"/>
    <x v="0"/>
    <n v="20"/>
    <n v="345"/>
    <x v="390"/>
    <x v="1"/>
    <s v="Michael Blythe"/>
    <s v="Match"/>
  </r>
  <r>
    <n v="275"/>
    <s v="Michael Blythe"/>
    <s v="Northeast"/>
    <n v="2013"/>
    <n v="2"/>
    <n v="1"/>
    <x v="1"/>
    <n v="36"/>
    <n v="951"/>
    <x v="391"/>
    <x v="1"/>
    <s v="Michael Blythe"/>
    <s v="Match"/>
  </r>
  <r>
    <n v="275"/>
    <s v="Michael Blythe"/>
    <s v="Northeast"/>
    <n v="2013"/>
    <n v="2"/>
    <n v="3"/>
    <x v="2"/>
    <n v="31"/>
    <n v="906"/>
    <x v="392"/>
    <x v="1"/>
    <s v="Michael Blythe"/>
    <s v="Match"/>
  </r>
  <r>
    <n v="275"/>
    <s v="Michael Blythe"/>
    <s v="Northeast"/>
    <n v="2013"/>
    <n v="2"/>
    <n v="2"/>
    <x v="3"/>
    <n v="36"/>
    <n v="918"/>
    <x v="393"/>
    <x v="1"/>
    <s v="Michael Blythe"/>
    <s v="Match"/>
  </r>
  <r>
    <n v="280"/>
    <s v="Pamela Ansman-Wolfe"/>
    <s v="Northwest"/>
    <n v="2013"/>
    <n v="2"/>
    <n v="4"/>
    <x v="0"/>
    <n v="3"/>
    <n v="85"/>
    <x v="394"/>
    <x v="1"/>
    <s v="Pamela Ansman-Wolfe"/>
    <s v="Match"/>
  </r>
  <r>
    <n v="280"/>
    <s v="Pamela Ansman-Wolfe"/>
    <s v="Northwest"/>
    <n v="2013"/>
    <n v="2"/>
    <n v="1"/>
    <x v="1"/>
    <n v="4"/>
    <n v="197"/>
    <x v="395"/>
    <x v="1"/>
    <s v="Pamela Ansman-Wolfe"/>
    <s v="Match"/>
  </r>
  <r>
    <n v="280"/>
    <s v="Pamela Ansman-Wolfe"/>
    <s v="Northwest"/>
    <n v="2013"/>
    <n v="2"/>
    <n v="3"/>
    <x v="2"/>
    <n v="4"/>
    <n v="283"/>
    <x v="396"/>
    <x v="1"/>
    <s v="Pamela Ansman-Wolfe"/>
    <s v="Match"/>
  </r>
  <r>
    <n v="280"/>
    <s v="Pamela Ansman-Wolfe"/>
    <s v="Northwest"/>
    <n v="2013"/>
    <n v="2"/>
    <n v="2"/>
    <x v="3"/>
    <n v="4"/>
    <n v="204"/>
    <x v="397"/>
    <x v="1"/>
    <s v="Pamela Ansman-Wolfe"/>
    <s v="Match"/>
  </r>
  <r>
    <n v="288"/>
    <s v="Rachel Valdez"/>
    <s v="Germany"/>
    <n v="2013"/>
    <n v="2"/>
    <n v="4"/>
    <x v="0"/>
    <n v="7"/>
    <n v="344"/>
    <x v="398"/>
    <x v="1"/>
    <s v="Rachel Valdez"/>
    <s v="Match"/>
  </r>
  <r>
    <n v="288"/>
    <s v="Rachel Valdez"/>
    <s v="Germany"/>
    <n v="2013"/>
    <n v="2"/>
    <n v="1"/>
    <x v="1"/>
    <n v="15"/>
    <n v="369"/>
    <x v="399"/>
    <x v="1"/>
    <s v="Rachel Valdez"/>
    <s v="Match"/>
  </r>
  <r>
    <n v="288"/>
    <s v="Rachel Valdez"/>
    <s v="Germany"/>
    <n v="2013"/>
    <n v="2"/>
    <n v="3"/>
    <x v="2"/>
    <n v="12"/>
    <n v="635"/>
    <x v="400"/>
    <x v="1"/>
    <s v="Rachel Valdez"/>
    <s v="Match"/>
  </r>
  <r>
    <n v="288"/>
    <s v="Rachel Valdez"/>
    <s v="Germany"/>
    <n v="2013"/>
    <n v="2"/>
    <n v="2"/>
    <x v="3"/>
    <n v="18"/>
    <n v="325"/>
    <x v="401"/>
    <x v="1"/>
    <s v="Rachel Valdez"/>
    <s v="Match"/>
  </r>
  <r>
    <n v="290"/>
    <s v="Ranjit Varkey Chudukatil"/>
    <s v="France"/>
    <n v="2013"/>
    <n v="2"/>
    <n v="4"/>
    <x v="0"/>
    <n v="9"/>
    <n v="401"/>
    <x v="402"/>
    <x v="1"/>
    <s v="Ranjit Varkey Chudukatil"/>
    <s v="Match"/>
  </r>
  <r>
    <n v="290"/>
    <s v="Ranjit Varkey Chudukatil"/>
    <s v="France"/>
    <n v="2013"/>
    <n v="2"/>
    <n v="1"/>
    <x v="1"/>
    <n v="19"/>
    <n v="784"/>
    <x v="403"/>
    <x v="1"/>
    <s v="Ranjit Varkey Chudukatil"/>
    <s v="Match"/>
  </r>
  <r>
    <n v="290"/>
    <s v="Ranjit Varkey Chudukatil"/>
    <s v="France"/>
    <n v="2013"/>
    <n v="2"/>
    <n v="3"/>
    <x v="2"/>
    <n v="17"/>
    <n v="822"/>
    <x v="404"/>
    <x v="1"/>
    <s v="Ranjit Varkey Chudukatil"/>
    <s v="Match"/>
  </r>
  <r>
    <n v="290"/>
    <s v="Ranjit Varkey Chudukatil"/>
    <s v="France"/>
    <n v="2013"/>
    <n v="2"/>
    <n v="2"/>
    <x v="3"/>
    <n v="23"/>
    <n v="920"/>
    <x v="405"/>
    <x v="1"/>
    <s v="Ranjit Varkey Chudukatil"/>
    <s v="Match"/>
  </r>
  <r>
    <n v="281"/>
    <s v="Shu Ito"/>
    <s v="Southwest"/>
    <n v="2013"/>
    <n v="2"/>
    <n v="4"/>
    <x v="0"/>
    <n v="10"/>
    <n v="377"/>
    <x v="406"/>
    <x v="1"/>
    <s v="Shu Ito"/>
    <s v="Match"/>
  </r>
  <r>
    <n v="281"/>
    <s v="Shu Ito"/>
    <s v="Southwest"/>
    <n v="2013"/>
    <n v="2"/>
    <n v="1"/>
    <x v="1"/>
    <n v="24"/>
    <n v="659"/>
    <x v="407"/>
    <x v="1"/>
    <s v="Shu Ito"/>
    <s v="Match"/>
  </r>
  <r>
    <n v="281"/>
    <s v="Shu Ito"/>
    <s v="Southwest"/>
    <n v="2013"/>
    <n v="2"/>
    <n v="3"/>
    <x v="2"/>
    <n v="18"/>
    <n v="788"/>
    <x v="408"/>
    <x v="1"/>
    <s v="Shu Ito"/>
    <s v="Match"/>
  </r>
  <r>
    <n v="281"/>
    <s v="Shu Ito"/>
    <s v="Southwest"/>
    <n v="2013"/>
    <n v="2"/>
    <n v="2"/>
    <x v="3"/>
    <n v="23"/>
    <n v="606"/>
    <x v="409"/>
    <x v="1"/>
    <s v="Shu Ito"/>
    <s v="Match"/>
  </r>
  <r>
    <n v="274"/>
    <s v="Stephen Jiang"/>
    <s v="Unassigned"/>
    <n v="2013"/>
    <n v="2"/>
    <n v="4"/>
    <x v="0"/>
    <n v="2"/>
    <n v="56"/>
    <x v="410"/>
    <x v="1"/>
    <s v="Stephen Jiang"/>
    <s v="Match"/>
  </r>
  <r>
    <n v="274"/>
    <s v="Stephen Jiang"/>
    <s v="Unassigned"/>
    <n v="2013"/>
    <n v="2"/>
    <n v="1"/>
    <x v="1"/>
    <n v="4"/>
    <n v="129"/>
    <x v="411"/>
    <x v="1"/>
    <s v="Stephen Jiang"/>
    <s v="Match"/>
  </r>
  <r>
    <n v="274"/>
    <s v="Stephen Jiang"/>
    <s v="Unassigned"/>
    <n v="2013"/>
    <n v="2"/>
    <n v="3"/>
    <x v="2"/>
    <n v="2"/>
    <n v="113"/>
    <x v="412"/>
    <x v="1"/>
    <s v="Stephen Jiang"/>
    <s v="Match"/>
  </r>
  <r>
    <n v="274"/>
    <s v="Stephen Jiang"/>
    <s v="Unassigned"/>
    <n v="2013"/>
    <n v="2"/>
    <n v="2"/>
    <x v="3"/>
    <n v="2"/>
    <n v="69"/>
    <x v="413"/>
    <x v="1"/>
    <s v="Stephen Jiang"/>
    <s v="Match"/>
  </r>
  <r>
    <n v="284"/>
    <s v="Tete Mensa-Annan"/>
    <s v="Northwest"/>
    <n v="2013"/>
    <n v="2"/>
    <n v="4"/>
    <x v="0"/>
    <n v="3"/>
    <n v="40"/>
    <x v="414"/>
    <x v="1"/>
    <s v="Tete Mensa-Annan"/>
    <s v="Match"/>
  </r>
  <r>
    <n v="284"/>
    <s v="Tete Mensa-Annan"/>
    <s v="Northwest"/>
    <n v="2013"/>
    <n v="2"/>
    <n v="1"/>
    <x v="1"/>
    <n v="15"/>
    <n v="268"/>
    <x v="415"/>
    <x v="1"/>
    <s v="Tete Mensa-Annan"/>
    <s v="Match"/>
  </r>
  <r>
    <n v="284"/>
    <s v="Tete Mensa-Annan"/>
    <s v="Northwest"/>
    <n v="2013"/>
    <n v="2"/>
    <n v="3"/>
    <x v="2"/>
    <n v="9"/>
    <n v="149"/>
    <x v="416"/>
    <x v="1"/>
    <s v="Tete Mensa-Annan"/>
    <s v="Match"/>
  </r>
  <r>
    <n v="284"/>
    <s v="Tete Mensa-Annan"/>
    <s v="Northwest"/>
    <n v="2013"/>
    <n v="2"/>
    <n v="2"/>
    <x v="3"/>
    <n v="15"/>
    <n v="228"/>
    <x v="417"/>
    <x v="1"/>
    <s v="Tete Mensa-Annan"/>
    <s v="Match"/>
  </r>
  <r>
    <n v="279"/>
    <s v="Tsvi Reiter"/>
    <s v="Southeast"/>
    <n v="2013"/>
    <n v="2"/>
    <n v="4"/>
    <x v="0"/>
    <n v="12"/>
    <n v="303"/>
    <x v="418"/>
    <x v="1"/>
    <s v="Tsvi Reiter"/>
    <s v="Match"/>
  </r>
  <r>
    <n v="279"/>
    <s v="Tsvi Reiter"/>
    <s v="Southeast"/>
    <n v="2013"/>
    <n v="2"/>
    <n v="1"/>
    <x v="1"/>
    <n v="30"/>
    <n v="543"/>
    <x v="419"/>
    <x v="1"/>
    <s v="Tsvi Reiter"/>
    <s v="Match"/>
  </r>
  <r>
    <n v="279"/>
    <s v="Tsvi Reiter"/>
    <s v="Southeast"/>
    <n v="2013"/>
    <n v="2"/>
    <n v="3"/>
    <x v="2"/>
    <n v="22"/>
    <n v="785"/>
    <x v="420"/>
    <x v="1"/>
    <s v="Tsvi Reiter"/>
    <s v="Match"/>
  </r>
  <r>
    <n v="279"/>
    <s v="Tsvi Reiter"/>
    <s v="Southeast"/>
    <n v="2013"/>
    <n v="2"/>
    <n v="2"/>
    <x v="3"/>
    <n v="31"/>
    <n v="556"/>
    <x v="421"/>
    <x v="1"/>
    <s v="Tsvi Reiter"/>
    <s v="Match"/>
  </r>
  <r>
    <n v="287"/>
    <s v="Amy Alberts"/>
    <s v="Unassigned"/>
    <n v="2013"/>
    <n v="3"/>
    <n v="4"/>
    <x v="0"/>
    <n v="1"/>
    <n v="3"/>
    <x v="422"/>
    <x v="1"/>
    <s v="Amy Alberts"/>
    <s v="Match"/>
  </r>
  <r>
    <n v="287"/>
    <s v="Amy Alberts"/>
    <s v="Unassigned"/>
    <n v="2013"/>
    <n v="3"/>
    <n v="1"/>
    <x v="1"/>
    <n v="8"/>
    <n v="92"/>
    <x v="423"/>
    <x v="1"/>
    <s v="Amy Alberts"/>
    <s v="Match"/>
  </r>
  <r>
    <n v="287"/>
    <s v="Amy Alberts"/>
    <s v="Unassigned"/>
    <n v="2013"/>
    <n v="3"/>
    <n v="3"/>
    <x v="2"/>
    <n v="3"/>
    <n v="48"/>
    <x v="424"/>
    <x v="1"/>
    <s v="Amy Alberts"/>
    <s v="Match"/>
  </r>
  <r>
    <n v="287"/>
    <s v="Amy Alberts"/>
    <s v="Unassigned"/>
    <n v="2013"/>
    <n v="3"/>
    <n v="2"/>
    <x v="3"/>
    <n v="4"/>
    <n v="66"/>
    <x v="425"/>
    <x v="1"/>
    <s v="Amy Alberts"/>
    <s v="Match"/>
  </r>
  <r>
    <n v="283"/>
    <s v="David Campbell"/>
    <s v="Northwest"/>
    <n v="2013"/>
    <n v="3"/>
    <n v="4"/>
    <x v="0"/>
    <n v="6"/>
    <n v="128"/>
    <x v="426"/>
    <x v="2"/>
    <s v="David Campbell"/>
    <s v="Match"/>
  </r>
  <r>
    <n v="283"/>
    <s v="David Campbell"/>
    <s v="Northwest"/>
    <n v="2013"/>
    <n v="3"/>
    <n v="1"/>
    <x v="1"/>
    <n v="16"/>
    <n v="372"/>
    <x v="427"/>
    <x v="2"/>
    <s v="David Campbell"/>
    <s v="Match"/>
  </r>
  <r>
    <n v="283"/>
    <s v="David Campbell"/>
    <s v="Northwest"/>
    <n v="2013"/>
    <n v="3"/>
    <n v="3"/>
    <x v="2"/>
    <n v="8"/>
    <n v="269"/>
    <x v="428"/>
    <x v="2"/>
    <s v="David Campbell"/>
    <s v="Match"/>
  </r>
  <r>
    <n v="283"/>
    <s v="David Campbell"/>
    <s v="Northwest"/>
    <n v="2013"/>
    <n v="3"/>
    <n v="2"/>
    <x v="3"/>
    <n v="16"/>
    <n v="404"/>
    <x v="429"/>
    <x v="2"/>
    <s v="David Campbell"/>
    <s v="Match"/>
  </r>
  <r>
    <n v="278"/>
    <s v="Garrett Vargas"/>
    <s v="Canada"/>
    <n v="2013"/>
    <n v="3"/>
    <n v="4"/>
    <x v="0"/>
    <n v="12"/>
    <n v="362"/>
    <x v="430"/>
    <x v="1"/>
    <s v="Garrett Vargas"/>
    <s v="Match"/>
  </r>
  <r>
    <n v="278"/>
    <s v="Garrett Vargas"/>
    <s v="Canada"/>
    <n v="2013"/>
    <n v="3"/>
    <n v="1"/>
    <x v="1"/>
    <n v="20"/>
    <n v="372"/>
    <x v="431"/>
    <x v="1"/>
    <s v="Garrett Vargas"/>
    <s v="Match"/>
  </r>
  <r>
    <n v="278"/>
    <s v="Garrett Vargas"/>
    <s v="Canada"/>
    <n v="2013"/>
    <n v="3"/>
    <n v="3"/>
    <x v="2"/>
    <n v="16"/>
    <n v="590"/>
    <x v="432"/>
    <x v="1"/>
    <s v="Garrett Vargas"/>
    <s v="Match"/>
  </r>
  <r>
    <n v="278"/>
    <s v="Garrett Vargas"/>
    <s v="Canada"/>
    <n v="2013"/>
    <n v="3"/>
    <n v="2"/>
    <x v="3"/>
    <n v="23"/>
    <n v="287"/>
    <x v="433"/>
    <x v="1"/>
    <s v="Garrett Vargas"/>
    <s v="Match"/>
  </r>
  <r>
    <n v="289"/>
    <s v="Jae Pak"/>
    <s v="United Kingdom"/>
    <n v="2013"/>
    <n v="3"/>
    <n v="4"/>
    <x v="0"/>
    <n v="17"/>
    <n v="489"/>
    <x v="434"/>
    <x v="1"/>
    <s v="Jae Pak"/>
    <s v="Match"/>
  </r>
  <r>
    <n v="289"/>
    <s v="Jae Pak"/>
    <s v="United Kingdom"/>
    <n v="2013"/>
    <n v="3"/>
    <n v="1"/>
    <x v="1"/>
    <n v="38"/>
    <n v="947"/>
    <x v="435"/>
    <x v="1"/>
    <s v="Jae Pak"/>
    <s v="Match"/>
  </r>
  <r>
    <n v="289"/>
    <s v="Jae Pak"/>
    <s v="United Kingdom"/>
    <n v="2013"/>
    <n v="3"/>
    <n v="3"/>
    <x v="2"/>
    <n v="34"/>
    <n v="1244"/>
    <x v="436"/>
    <x v="1"/>
    <s v="Jae Pak"/>
    <s v="Match"/>
  </r>
  <r>
    <n v="289"/>
    <s v="Jae Pak"/>
    <s v="United Kingdom"/>
    <n v="2013"/>
    <n v="3"/>
    <n v="2"/>
    <x v="3"/>
    <n v="35"/>
    <n v="982"/>
    <x v="437"/>
    <x v="1"/>
    <s v="Jae Pak"/>
    <s v="Match"/>
  </r>
  <r>
    <n v="277"/>
    <s v="Jillian Carson"/>
    <s v="Central"/>
    <n v="2013"/>
    <n v="3"/>
    <n v="4"/>
    <x v="0"/>
    <n v="21"/>
    <n v="652"/>
    <x v="438"/>
    <x v="1"/>
    <s v="Jillian Carson"/>
    <s v="Match"/>
  </r>
  <r>
    <n v="277"/>
    <s v="Jillian Carson"/>
    <s v="Central"/>
    <n v="2013"/>
    <n v="3"/>
    <n v="1"/>
    <x v="1"/>
    <n v="38"/>
    <n v="821"/>
    <x v="439"/>
    <x v="1"/>
    <s v="Jillian Carson"/>
    <s v="Match"/>
  </r>
  <r>
    <n v="277"/>
    <s v="Jillian Carson"/>
    <s v="Central"/>
    <n v="2013"/>
    <n v="3"/>
    <n v="3"/>
    <x v="2"/>
    <n v="32"/>
    <n v="1341"/>
    <x v="440"/>
    <x v="1"/>
    <s v="Jillian Carson"/>
    <s v="Match"/>
  </r>
  <r>
    <n v="277"/>
    <s v="Jillian Carson"/>
    <s v="Central"/>
    <n v="2013"/>
    <n v="3"/>
    <n v="2"/>
    <x v="3"/>
    <n v="41"/>
    <n v="757"/>
    <x v="441"/>
    <x v="1"/>
    <s v="Jillian Carson"/>
    <s v="Match"/>
  </r>
  <r>
    <n v="282"/>
    <s v="José Saraiva"/>
    <s v="Canada"/>
    <n v="2013"/>
    <n v="3"/>
    <n v="4"/>
    <x v="0"/>
    <n v="14"/>
    <n v="433"/>
    <x v="442"/>
    <x v="2"/>
    <s v="José Saraiva"/>
    <s v="Match"/>
  </r>
  <r>
    <n v="282"/>
    <s v="José Saraiva"/>
    <s v="Canada"/>
    <n v="2013"/>
    <n v="3"/>
    <n v="1"/>
    <x v="1"/>
    <n v="22"/>
    <n v="712"/>
    <x v="443"/>
    <x v="2"/>
    <s v="José Saraiva"/>
    <s v="Match"/>
  </r>
  <r>
    <n v="282"/>
    <s v="José Saraiva"/>
    <s v="Canada"/>
    <n v="2013"/>
    <n v="3"/>
    <n v="3"/>
    <x v="2"/>
    <n v="18"/>
    <n v="859"/>
    <x v="444"/>
    <x v="2"/>
    <s v="José Saraiva"/>
    <s v="Match"/>
  </r>
  <r>
    <n v="282"/>
    <s v="José Saraiva"/>
    <s v="Canada"/>
    <n v="2013"/>
    <n v="3"/>
    <n v="2"/>
    <x v="3"/>
    <n v="21"/>
    <n v="646"/>
    <x v="445"/>
    <x v="2"/>
    <s v="José Saraiva"/>
    <s v="Match"/>
  </r>
  <r>
    <n v="276"/>
    <s v="Linda Mitchell"/>
    <s v="Southwest"/>
    <n v="2013"/>
    <n v="3"/>
    <n v="4"/>
    <x v="0"/>
    <n v="17"/>
    <n v="576"/>
    <x v="446"/>
    <x v="1"/>
    <s v="Linda Mitchell"/>
    <s v="Match"/>
  </r>
  <r>
    <n v="276"/>
    <s v="Linda Mitchell"/>
    <s v="Southwest"/>
    <n v="2013"/>
    <n v="3"/>
    <n v="1"/>
    <x v="1"/>
    <n v="34"/>
    <n v="1039"/>
    <x v="447"/>
    <x v="1"/>
    <s v="Linda Mitchell"/>
    <s v="Match"/>
  </r>
  <r>
    <n v="276"/>
    <s v="Linda Mitchell"/>
    <s v="Southwest"/>
    <n v="2013"/>
    <n v="3"/>
    <n v="3"/>
    <x v="2"/>
    <n v="26"/>
    <n v="1225"/>
    <x v="448"/>
    <x v="1"/>
    <s v="Linda Mitchell"/>
    <s v="Match"/>
  </r>
  <r>
    <n v="276"/>
    <s v="Linda Mitchell"/>
    <s v="Southwest"/>
    <n v="2013"/>
    <n v="3"/>
    <n v="2"/>
    <x v="3"/>
    <n v="39"/>
    <n v="932"/>
    <x v="449"/>
    <x v="1"/>
    <s v="Linda Mitchell"/>
    <s v="Match"/>
  </r>
  <r>
    <n v="286"/>
    <s v="Lynn Tsoflias"/>
    <s v="Australia"/>
    <n v="2013"/>
    <n v="3"/>
    <n v="4"/>
    <x v="0"/>
    <n v="7"/>
    <n v="126"/>
    <x v="450"/>
    <x v="1"/>
    <s v="Lynn Tsoflias"/>
    <s v="Match"/>
  </r>
  <r>
    <n v="286"/>
    <s v="Lynn Tsoflias"/>
    <s v="Australia"/>
    <n v="2013"/>
    <n v="3"/>
    <n v="1"/>
    <x v="1"/>
    <n v="20"/>
    <n v="325"/>
    <x v="451"/>
    <x v="1"/>
    <s v="Lynn Tsoflias"/>
    <s v="Match"/>
  </r>
  <r>
    <n v="286"/>
    <s v="Lynn Tsoflias"/>
    <s v="Australia"/>
    <n v="2013"/>
    <n v="3"/>
    <n v="3"/>
    <x v="2"/>
    <n v="10"/>
    <n v="263"/>
    <x v="452"/>
    <x v="1"/>
    <s v="Lynn Tsoflias"/>
    <s v="Match"/>
  </r>
  <r>
    <n v="286"/>
    <s v="Lynn Tsoflias"/>
    <s v="Australia"/>
    <n v="2013"/>
    <n v="3"/>
    <n v="2"/>
    <x v="3"/>
    <n v="18"/>
    <n v="239"/>
    <x v="453"/>
    <x v="1"/>
    <s v="Lynn Tsoflias"/>
    <s v="Match"/>
  </r>
  <r>
    <n v="275"/>
    <s v="Michael Blythe"/>
    <s v="Northeast"/>
    <n v="2013"/>
    <n v="3"/>
    <n v="4"/>
    <x v="0"/>
    <n v="13"/>
    <n v="276"/>
    <x v="454"/>
    <x v="1"/>
    <s v="Michael Blythe"/>
    <s v="Match"/>
  </r>
  <r>
    <n v="275"/>
    <s v="Michael Blythe"/>
    <s v="Northeast"/>
    <n v="2013"/>
    <n v="3"/>
    <n v="1"/>
    <x v="1"/>
    <n v="38"/>
    <n v="1049"/>
    <x v="455"/>
    <x v="1"/>
    <s v="Michael Blythe"/>
    <s v="Match"/>
  </r>
  <r>
    <n v="275"/>
    <s v="Michael Blythe"/>
    <s v="Northeast"/>
    <n v="2013"/>
    <n v="3"/>
    <n v="3"/>
    <x v="2"/>
    <n v="27"/>
    <n v="783"/>
    <x v="456"/>
    <x v="1"/>
    <s v="Michael Blythe"/>
    <s v="Match"/>
  </r>
  <r>
    <n v="275"/>
    <s v="Michael Blythe"/>
    <s v="Northeast"/>
    <n v="2013"/>
    <n v="3"/>
    <n v="2"/>
    <x v="3"/>
    <n v="36"/>
    <n v="950"/>
    <x v="457"/>
    <x v="1"/>
    <s v="Michael Blythe"/>
    <s v="Match"/>
  </r>
  <r>
    <n v="280"/>
    <s v="Pamela Ansman-Wolfe"/>
    <s v="Northwest"/>
    <n v="2013"/>
    <n v="3"/>
    <n v="4"/>
    <x v="0"/>
    <n v="3"/>
    <n v="77"/>
    <x v="458"/>
    <x v="1"/>
    <s v="Pamela Ansman-Wolfe"/>
    <s v="Match"/>
  </r>
  <r>
    <n v="280"/>
    <s v="Pamela Ansman-Wolfe"/>
    <s v="Northwest"/>
    <n v="2013"/>
    <n v="3"/>
    <n v="1"/>
    <x v="1"/>
    <n v="6"/>
    <n v="293"/>
    <x v="459"/>
    <x v="1"/>
    <s v="Pamela Ansman-Wolfe"/>
    <s v="Match"/>
  </r>
  <r>
    <n v="280"/>
    <s v="Pamela Ansman-Wolfe"/>
    <s v="Northwest"/>
    <n v="2013"/>
    <n v="3"/>
    <n v="3"/>
    <x v="2"/>
    <n v="6"/>
    <n v="218"/>
    <x v="460"/>
    <x v="1"/>
    <s v="Pamela Ansman-Wolfe"/>
    <s v="Match"/>
  </r>
  <r>
    <n v="280"/>
    <s v="Pamela Ansman-Wolfe"/>
    <s v="Northwest"/>
    <n v="2013"/>
    <n v="3"/>
    <n v="2"/>
    <x v="3"/>
    <n v="6"/>
    <n v="422"/>
    <x v="461"/>
    <x v="1"/>
    <s v="Pamela Ansman-Wolfe"/>
    <s v="Match"/>
  </r>
  <r>
    <n v="288"/>
    <s v="Rachel Valdez"/>
    <s v="Germany"/>
    <n v="2013"/>
    <n v="3"/>
    <n v="4"/>
    <x v="0"/>
    <n v="14"/>
    <n v="453"/>
    <x v="462"/>
    <x v="1"/>
    <s v="Rachel Valdez"/>
    <s v="Match"/>
  </r>
  <r>
    <n v="288"/>
    <s v="Rachel Valdez"/>
    <s v="Germany"/>
    <n v="2013"/>
    <n v="3"/>
    <n v="1"/>
    <x v="1"/>
    <n v="24"/>
    <n v="482"/>
    <x v="463"/>
    <x v="1"/>
    <s v="Rachel Valdez"/>
    <s v="Match"/>
  </r>
  <r>
    <n v="288"/>
    <s v="Rachel Valdez"/>
    <s v="Germany"/>
    <n v="2013"/>
    <n v="3"/>
    <n v="3"/>
    <x v="2"/>
    <n v="21"/>
    <n v="789"/>
    <x v="464"/>
    <x v="1"/>
    <s v="Rachel Valdez"/>
    <s v="Match"/>
  </r>
  <r>
    <n v="288"/>
    <s v="Rachel Valdez"/>
    <s v="Germany"/>
    <n v="2013"/>
    <n v="3"/>
    <n v="2"/>
    <x v="3"/>
    <n v="25"/>
    <n v="368"/>
    <x v="465"/>
    <x v="1"/>
    <s v="Rachel Valdez"/>
    <s v="Match"/>
  </r>
  <r>
    <n v="290"/>
    <s v="Ranjit Varkey Chudukatil"/>
    <s v="France"/>
    <n v="2013"/>
    <n v="3"/>
    <n v="4"/>
    <x v="0"/>
    <n v="12"/>
    <n v="439"/>
    <x v="466"/>
    <x v="1"/>
    <s v="Ranjit Varkey Chudukatil"/>
    <s v="Match"/>
  </r>
  <r>
    <n v="290"/>
    <s v="Ranjit Varkey Chudukatil"/>
    <s v="France"/>
    <n v="2013"/>
    <n v="3"/>
    <n v="1"/>
    <x v="1"/>
    <n v="22"/>
    <n v="754"/>
    <x v="467"/>
    <x v="1"/>
    <s v="Ranjit Varkey Chudukatil"/>
    <s v="Match"/>
  </r>
  <r>
    <n v="290"/>
    <s v="Ranjit Varkey Chudukatil"/>
    <s v="France"/>
    <n v="2013"/>
    <n v="3"/>
    <n v="3"/>
    <x v="2"/>
    <n v="20"/>
    <n v="787"/>
    <x v="468"/>
    <x v="1"/>
    <s v="Ranjit Varkey Chudukatil"/>
    <s v="Match"/>
  </r>
  <r>
    <n v="290"/>
    <s v="Ranjit Varkey Chudukatil"/>
    <s v="France"/>
    <n v="2013"/>
    <n v="3"/>
    <n v="2"/>
    <x v="3"/>
    <n v="24"/>
    <n v="685"/>
    <x v="469"/>
    <x v="1"/>
    <s v="Ranjit Varkey Chudukatil"/>
    <s v="Match"/>
  </r>
  <r>
    <n v="281"/>
    <s v="Shu Ito"/>
    <s v="Southwest"/>
    <n v="2013"/>
    <n v="3"/>
    <n v="4"/>
    <x v="0"/>
    <n v="14"/>
    <n v="298"/>
    <x v="470"/>
    <x v="1"/>
    <s v="Shu Ito"/>
    <s v="Match"/>
  </r>
  <r>
    <n v="281"/>
    <s v="Shu Ito"/>
    <s v="Southwest"/>
    <n v="2013"/>
    <n v="3"/>
    <n v="1"/>
    <x v="1"/>
    <n v="22"/>
    <n v="637"/>
    <x v="471"/>
    <x v="1"/>
    <s v="Shu Ito"/>
    <s v="Match"/>
  </r>
  <r>
    <n v="281"/>
    <s v="Shu Ito"/>
    <s v="Southwest"/>
    <n v="2013"/>
    <n v="3"/>
    <n v="3"/>
    <x v="2"/>
    <n v="18"/>
    <n v="695"/>
    <x v="472"/>
    <x v="1"/>
    <s v="Shu Ito"/>
    <s v="Match"/>
  </r>
  <r>
    <n v="281"/>
    <s v="Shu Ito"/>
    <s v="Southwest"/>
    <n v="2013"/>
    <n v="3"/>
    <n v="2"/>
    <x v="3"/>
    <n v="23"/>
    <n v="493"/>
    <x v="473"/>
    <x v="1"/>
    <s v="Shu Ito"/>
    <s v="Match"/>
  </r>
  <r>
    <n v="274"/>
    <s v="Stephen Jiang"/>
    <s v="Unassigned"/>
    <n v="2013"/>
    <n v="3"/>
    <n v="4"/>
    <x v="0"/>
    <n v="2"/>
    <n v="116"/>
    <x v="474"/>
    <x v="2"/>
    <s v="Stephen Jiang"/>
    <s v="Match"/>
  </r>
  <r>
    <n v="274"/>
    <s v="Stephen Jiang"/>
    <s v="Unassigned"/>
    <n v="2013"/>
    <n v="3"/>
    <n v="1"/>
    <x v="1"/>
    <n v="5"/>
    <n v="160"/>
    <x v="475"/>
    <x v="2"/>
    <s v="Stephen Jiang"/>
    <s v="Match"/>
  </r>
  <r>
    <n v="274"/>
    <s v="Stephen Jiang"/>
    <s v="Unassigned"/>
    <n v="2013"/>
    <n v="3"/>
    <n v="3"/>
    <x v="2"/>
    <n v="3"/>
    <n v="217"/>
    <x v="476"/>
    <x v="2"/>
    <s v="Stephen Jiang"/>
    <s v="Match"/>
  </r>
  <r>
    <n v="274"/>
    <s v="Stephen Jiang"/>
    <s v="Unassigned"/>
    <n v="2013"/>
    <n v="3"/>
    <n v="2"/>
    <x v="3"/>
    <n v="4"/>
    <n v="207"/>
    <x v="477"/>
    <x v="2"/>
    <s v="Stephen Jiang"/>
    <s v="Match"/>
  </r>
  <r>
    <n v="285"/>
    <s v="Syed Abbas"/>
    <s v="Unassigned"/>
    <n v="2013"/>
    <n v="3"/>
    <n v="4"/>
    <x v="0"/>
    <n v="4"/>
    <n v="141"/>
    <x v="478"/>
    <x v="2"/>
    <s v="Syed Abbas"/>
    <s v="Match"/>
  </r>
  <r>
    <n v="285"/>
    <s v="Syed Abbas"/>
    <s v="Unassigned"/>
    <n v="2013"/>
    <n v="3"/>
    <n v="1"/>
    <x v="1"/>
    <n v="5"/>
    <n v="117"/>
    <x v="479"/>
    <x v="2"/>
    <s v="Syed Abbas"/>
    <s v="Match"/>
  </r>
  <r>
    <n v="285"/>
    <s v="Syed Abbas"/>
    <s v="Unassigned"/>
    <n v="2013"/>
    <n v="3"/>
    <n v="3"/>
    <x v="2"/>
    <n v="4"/>
    <n v="256"/>
    <x v="480"/>
    <x v="2"/>
    <s v="Syed Abbas"/>
    <s v="Match"/>
  </r>
  <r>
    <n v="285"/>
    <s v="Syed Abbas"/>
    <s v="Unassigned"/>
    <n v="2013"/>
    <n v="3"/>
    <n v="2"/>
    <x v="3"/>
    <n v="6"/>
    <n v="102"/>
    <x v="481"/>
    <x v="2"/>
    <s v="Syed Abbas"/>
    <s v="Match"/>
  </r>
  <r>
    <n v="284"/>
    <s v="Tete Mensa-Annan"/>
    <s v="Northwest"/>
    <n v="2013"/>
    <n v="3"/>
    <n v="4"/>
    <x v="0"/>
    <n v="7"/>
    <n v="138"/>
    <x v="482"/>
    <x v="2"/>
    <s v="Tete Mensa-Annan"/>
    <s v="Match"/>
  </r>
  <r>
    <n v="284"/>
    <s v="Tete Mensa-Annan"/>
    <s v="Northwest"/>
    <n v="2013"/>
    <n v="3"/>
    <n v="1"/>
    <x v="1"/>
    <n v="20"/>
    <n v="378"/>
    <x v="483"/>
    <x v="2"/>
    <s v="Tete Mensa-Annan"/>
    <s v="Match"/>
  </r>
  <r>
    <n v="284"/>
    <s v="Tete Mensa-Annan"/>
    <s v="Northwest"/>
    <n v="2013"/>
    <n v="3"/>
    <n v="3"/>
    <x v="2"/>
    <n v="11"/>
    <n v="258"/>
    <x v="484"/>
    <x v="2"/>
    <s v="Tete Mensa-Annan"/>
    <s v="Match"/>
  </r>
  <r>
    <n v="284"/>
    <s v="Tete Mensa-Annan"/>
    <s v="Northwest"/>
    <n v="2013"/>
    <n v="3"/>
    <n v="2"/>
    <x v="3"/>
    <n v="16"/>
    <n v="248"/>
    <x v="485"/>
    <x v="2"/>
    <s v="Tete Mensa-Annan"/>
    <s v="Match"/>
  </r>
  <r>
    <n v="279"/>
    <s v="Tsvi Reiter"/>
    <s v="Southeast"/>
    <n v="2013"/>
    <n v="3"/>
    <n v="4"/>
    <x v="0"/>
    <n v="13"/>
    <n v="269"/>
    <x v="486"/>
    <x v="1"/>
    <s v="Tsvi Reiter"/>
    <s v="Match"/>
  </r>
  <r>
    <n v="279"/>
    <s v="Tsvi Reiter"/>
    <s v="Southeast"/>
    <n v="2013"/>
    <n v="3"/>
    <n v="1"/>
    <x v="1"/>
    <n v="36"/>
    <n v="602"/>
    <x v="487"/>
    <x v="1"/>
    <s v="Tsvi Reiter"/>
    <s v="Match"/>
  </r>
  <r>
    <n v="279"/>
    <s v="Tsvi Reiter"/>
    <s v="Southeast"/>
    <n v="2013"/>
    <n v="3"/>
    <n v="3"/>
    <x v="2"/>
    <n v="24"/>
    <n v="640"/>
    <x v="488"/>
    <x v="1"/>
    <s v="Tsvi Reiter"/>
    <s v="Match"/>
  </r>
  <r>
    <n v="279"/>
    <s v="Tsvi Reiter"/>
    <s v="Southeast"/>
    <n v="2013"/>
    <n v="3"/>
    <n v="2"/>
    <x v="3"/>
    <n v="32"/>
    <n v="456"/>
    <x v="489"/>
    <x v="1"/>
    <s v="Tsvi Reiter"/>
    <s v="Match"/>
  </r>
  <r>
    <n v="287"/>
    <s v="Amy Alberts"/>
    <s v="Unassigned"/>
    <n v="2013"/>
    <n v="4"/>
    <n v="4"/>
    <x v="0"/>
    <n v="2"/>
    <n v="74"/>
    <x v="490"/>
    <x v="2"/>
    <s v="Amy Alberts"/>
    <s v="Match"/>
  </r>
  <r>
    <n v="287"/>
    <s v="Amy Alberts"/>
    <s v="Unassigned"/>
    <n v="2013"/>
    <n v="4"/>
    <n v="1"/>
    <x v="1"/>
    <n v="9"/>
    <n v="238"/>
    <x v="491"/>
    <x v="2"/>
    <s v="Amy Alberts"/>
    <s v="Match"/>
  </r>
  <r>
    <n v="287"/>
    <s v="Amy Alberts"/>
    <s v="Unassigned"/>
    <n v="2013"/>
    <n v="4"/>
    <n v="3"/>
    <x v="2"/>
    <n v="8"/>
    <n v="144"/>
    <x v="492"/>
    <x v="2"/>
    <s v="Amy Alberts"/>
    <s v="Match"/>
  </r>
  <r>
    <n v="287"/>
    <s v="Amy Alberts"/>
    <s v="Unassigned"/>
    <n v="2013"/>
    <n v="4"/>
    <n v="2"/>
    <x v="3"/>
    <n v="4"/>
    <n v="201"/>
    <x v="493"/>
    <x v="2"/>
    <s v="Amy Alberts"/>
    <s v="Match"/>
  </r>
  <r>
    <n v="283"/>
    <s v="David Campbell"/>
    <s v="Northwest"/>
    <n v="2013"/>
    <n v="4"/>
    <n v="4"/>
    <x v="0"/>
    <n v="6"/>
    <n v="93"/>
    <x v="494"/>
    <x v="2"/>
    <s v="David Campbell"/>
    <s v="Match"/>
  </r>
  <r>
    <n v="283"/>
    <s v="David Campbell"/>
    <s v="Northwest"/>
    <n v="2013"/>
    <n v="4"/>
    <n v="1"/>
    <x v="1"/>
    <n v="18"/>
    <n v="270"/>
    <x v="495"/>
    <x v="2"/>
    <s v="David Campbell"/>
    <s v="Match"/>
  </r>
  <r>
    <n v="283"/>
    <s v="David Campbell"/>
    <s v="Northwest"/>
    <n v="2013"/>
    <n v="4"/>
    <n v="3"/>
    <x v="2"/>
    <n v="11"/>
    <n v="193"/>
    <x v="496"/>
    <x v="2"/>
    <s v="David Campbell"/>
    <s v="Match"/>
  </r>
  <r>
    <n v="283"/>
    <s v="David Campbell"/>
    <s v="Northwest"/>
    <n v="2013"/>
    <n v="4"/>
    <n v="2"/>
    <x v="3"/>
    <n v="10"/>
    <n v="214"/>
    <x v="497"/>
    <x v="2"/>
    <s v="David Campbell"/>
    <s v="Match"/>
  </r>
  <r>
    <n v="278"/>
    <s v="Garrett Vargas"/>
    <s v="Canada"/>
    <n v="2013"/>
    <n v="4"/>
    <n v="4"/>
    <x v="0"/>
    <n v="8"/>
    <n v="189"/>
    <x v="498"/>
    <x v="2"/>
    <s v="Garrett Vargas"/>
    <s v="Match"/>
  </r>
  <r>
    <n v="278"/>
    <s v="Garrett Vargas"/>
    <s v="Canada"/>
    <n v="2013"/>
    <n v="4"/>
    <n v="1"/>
    <x v="1"/>
    <n v="19"/>
    <n v="350"/>
    <x v="499"/>
    <x v="2"/>
    <s v="Garrett Vargas"/>
    <s v="Match"/>
  </r>
  <r>
    <n v="278"/>
    <s v="Garrett Vargas"/>
    <s v="Canada"/>
    <n v="2013"/>
    <n v="4"/>
    <n v="3"/>
    <x v="2"/>
    <n v="14"/>
    <n v="346"/>
    <x v="500"/>
    <x v="2"/>
    <s v="Garrett Vargas"/>
    <s v="Match"/>
  </r>
  <r>
    <n v="278"/>
    <s v="Garrett Vargas"/>
    <s v="Canada"/>
    <n v="2013"/>
    <n v="4"/>
    <n v="2"/>
    <x v="3"/>
    <n v="16"/>
    <n v="111"/>
    <x v="501"/>
    <x v="2"/>
    <s v="Garrett Vargas"/>
    <s v="Match"/>
  </r>
  <r>
    <n v="289"/>
    <s v="Jae Pak"/>
    <s v="United Kingdom"/>
    <n v="2013"/>
    <n v="4"/>
    <n v="4"/>
    <x v="0"/>
    <n v="15"/>
    <n v="380"/>
    <x v="502"/>
    <x v="2"/>
    <s v="Jae Pak"/>
    <s v="Match"/>
  </r>
  <r>
    <n v="289"/>
    <s v="Jae Pak"/>
    <s v="United Kingdom"/>
    <n v="2013"/>
    <n v="4"/>
    <n v="1"/>
    <x v="1"/>
    <n v="35"/>
    <n v="826"/>
    <x v="503"/>
    <x v="2"/>
    <s v="Jae Pak"/>
    <s v="Match"/>
  </r>
  <r>
    <n v="289"/>
    <s v="Jae Pak"/>
    <s v="United Kingdom"/>
    <n v="2013"/>
    <n v="4"/>
    <n v="3"/>
    <x v="2"/>
    <n v="33"/>
    <n v="854"/>
    <x v="504"/>
    <x v="2"/>
    <s v="Jae Pak"/>
    <s v="Match"/>
  </r>
  <r>
    <n v="289"/>
    <s v="Jae Pak"/>
    <s v="United Kingdom"/>
    <n v="2013"/>
    <n v="4"/>
    <n v="2"/>
    <x v="3"/>
    <n v="30"/>
    <n v="711"/>
    <x v="505"/>
    <x v="2"/>
    <s v="Jae Pak"/>
    <s v="Match"/>
  </r>
  <r>
    <n v="277"/>
    <s v="Jillian Carson"/>
    <s v="Central"/>
    <n v="2013"/>
    <n v="4"/>
    <n v="4"/>
    <x v="0"/>
    <n v="14"/>
    <n v="387"/>
    <x v="506"/>
    <x v="1"/>
    <s v="Jillian Carson"/>
    <s v="Match"/>
  </r>
  <r>
    <n v="277"/>
    <s v="Jillian Carson"/>
    <s v="Central"/>
    <n v="2013"/>
    <n v="4"/>
    <n v="1"/>
    <x v="1"/>
    <n v="36"/>
    <n v="662"/>
    <x v="507"/>
    <x v="1"/>
    <s v="Jillian Carson"/>
    <s v="Match"/>
  </r>
  <r>
    <n v="277"/>
    <s v="Jillian Carson"/>
    <s v="Central"/>
    <n v="2013"/>
    <n v="4"/>
    <n v="3"/>
    <x v="2"/>
    <n v="31"/>
    <n v="858"/>
    <x v="508"/>
    <x v="1"/>
    <s v="Jillian Carson"/>
    <s v="Match"/>
  </r>
  <r>
    <n v="277"/>
    <s v="Jillian Carson"/>
    <s v="Central"/>
    <n v="2013"/>
    <n v="4"/>
    <n v="2"/>
    <x v="3"/>
    <n v="32"/>
    <n v="407"/>
    <x v="509"/>
    <x v="1"/>
    <s v="Jillian Carson"/>
    <s v="Match"/>
  </r>
  <r>
    <n v="282"/>
    <s v="José Saraiva"/>
    <s v="Canada"/>
    <n v="2013"/>
    <n v="4"/>
    <n v="4"/>
    <x v="0"/>
    <n v="9"/>
    <n v="191"/>
    <x v="510"/>
    <x v="1"/>
    <s v="José Saraiva"/>
    <s v="Match"/>
  </r>
  <r>
    <n v="282"/>
    <s v="José Saraiva"/>
    <s v="Canada"/>
    <n v="2013"/>
    <n v="4"/>
    <n v="1"/>
    <x v="1"/>
    <n v="21"/>
    <n v="467"/>
    <x v="511"/>
    <x v="1"/>
    <s v="José Saraiva"/>
    <s v="Match"/>
  </r>
  <r>
    <n v="282"/>
    <s v="José Saraiva"/>
    <s v="Canada"/>
    <n v="2013"/>
    <n v="4"/>
    <n v="3"/>
    <x v="2"/>
    <n v="13"/>
    <n v="419"/>
    <x v="512"/>
    <x v="1"/>
    <s v="José Saraiva"/>
    <s v="Match"/>
  </r>
  <r>
    <n v="282"/>
    <s v="José Saraiva"/>
    <s v="Canada"/>
    <n v="2013"/>
    <n v="4"/>
    <n v="2"/>
    <x v="3"/>
    <n v="12"/>
    <n v="215"/>
    <x v="513"/>
    <x v="1"/>
    <s v="José Saraiva"/>
    <s v="Match"/>
  </r>
  <r>
    <n v="276"/>
    <s v="Linda Mitchell"/>
    <s v="Southwest"/>
    <n v="2013"/>
    <n v="4"/>
    <n v="4"/>
    <x v="0"/>
    <n v="14"/>
    <n v="321"/>
    <x v="514"/>
    <x v="2"/>
    <s v="Linda Mitchell"/>
    <s v="Match"/>
  </r>
  <r>
    <n v="276"/>
    <s v="Linda Mitchell"/>
    <s v="Southwest"/>
    <n v="2013"/>
    <n v="4"/>
    <n v="1"/>
    <x v="1"/>
    <n v="36"/>
    <n v="918"/>
    <x v="515"/>
    <x v="2"/>
    <s v="Linda Mitchell"/>
    <s v="Match"/>
  </r>
  <r>
    <n v="276"/>
    <s v="Linda Mitchell"/>
    <s v="Southwest"/>
    <n v="2013"/>
    <n v="4"/>
    <n v="3"/>
    <x v="2"/>
    <n v="29"/>
    <n v="777"/>
    <x v="516"/>
    <x v="2"/>
    <s v="Linda Mitchell"/>
    <s v="Match"/>
  </r>
  <r>
    <n v="276"/>
    <s v="Linda Mitchell"/>
    <s v="Southwest"/>
    <n v="2013"/>
    <n v="4"/>
    <n v="2"/>
    <x v="3"/>
    <n v="32"/>
    <n v="420"/>
    <x v="517"/>
    <x v="2"/>
    <s v="Linda Mitchell"/>
    <s v="Match"/>
  </r>
  <r>
    <n v="286"/>
    <s v="Lynn Tsoflias"/>
    <s v="Australia"/>
    <n v="2013"/>
    <n v="4"/>
    <n v="4"/>
    <x v="0"/>
    <n v="8"/>
    <n v="201"/>
    <x v="518"/>
    <x v="1"/>
    <s v="Lynn Tsoflias"/>
    <s v="Match"/>
  </r>
  <r>
    <n v="286"/>
    <s v="Lynn Tsoflias"/>
    <s v="Australia"/>
    <n v="2013"/>
    <n v="4"/>
    <n v="1"/>
    <x v="1"/>
    <n v="20"/>
    <n v="305"/>
    <x v="519"/>
    <x v="1"/>
    <s v="Lynn Tsoflias"/>
    <s v="Match"/>
  </r>
  <r>
    <n v="286"/>
    <s v="Lynn Tsoflias"/>
    <s v="Australia"/>
    <n v="2013"/>
    <n v="4"/>
    <n v="3"/>
    <x v="2"/>
    <n v="14"/>
    <n v="301"/>
    <x v="520"/>
    <x v="1"/>
    <s v="Lynn Tsoflias"/>
    <s v="Match"/>
  </r>
  <r>
    <n v="286"/>
    <s v="Lynn Tsoflias"/>
    <s v="Australia"/>
    <n v="2013"/>
    <n v="4"/>
    <n v="2"/>
    <x v="3"/>
    <n v="14"/>
    <n v="171"/>
    <x v="521"/>
    <x v="1"/>
    <s v="Lynn Tsoflias"/>
    <s v="Match"/>
  </r>
  <r>
    <n v="275"/>
    <s v="Michael Blythe"/>
    <s v="Northeast"/>
    <n v="2013"/>
    <n v="4"/>
    <n v="4"/>
    <x v="0"/>
    <n v="7"/>
    <n v="167"/>
    <x v="522"/>
    <x v="1"/>
    <s v="Michael Blythe"/>
    <s v="Match"/>
  </r>
  <r>
    <n v="275"/>
    <s v="Michael Blythe"/>
    <s v="Northeast"/>
    <n v="2013"/>
    <n v="4"/>
    <n v="1"/>
    <x v="1"/>
    <n v="34"/>
    <n v="800"/>
    <x v="523"/>
    <x v="1"/>
    <s v="Michael Blythe"/>
    <s v="Match"/>
  </r>
  <r>
    <n v="275"/>
    <s v="Michael Blythe"/>
    <s v="Northeast"/>
    <n v="2013"/>
    <n v="4"/>
    <n v="3"/>
    <x v="2"/>
    <n v="28"/>
    <n v="492"/>
    <x v="524"/>
    <x v="1"/>
    <s v="Michael Blythe"/>
    <s v="Match"/>
  </r>
  <r>
    <n v="275"/>
    <s v="Michael Blythe"/>
    <s v="Northeast"/>
    <n v="2013"/>
    <n v="4"/>
    <n v="2"/>
    <x v="3"/>
    <n v="31"/>
    <n v="575"/>
    <x v="525"/>
    <x v="1"/>
    <s v="Michael Blythe"/>
    <s v="Match"/>
  </r>
  <r>
    <n v="280"/>
    <s v="Pamela Ansman-Wolfe"/>
    <s v="Northwest"/>
    <n v="2013"/>
    <n v="4"/>
    <n v="4"/>
    <x v="0"/>
    <n v="4"/>
    <n v="74"/>
    <x v="526"/>
    <x v="1"/>
    <s v="Pamela Ansman-Wolfe"/>
    <s v="Match"/>
  </r>
  <r>
    <n v="280"/>
    <s v="Pamela Ansman-Wolfe"/>
    <s v="Northwest"/>
    <n v="2013"/>
    <n v="4"/>
    <n v="1"/>
    <x v="1"/>
    <n v="6"/>
    <n v="315"/>
    <x v="527"/>
    <x v="1"/>
    <s v="Pamela Ansman-Wolfe"/>
    <s v="Match"/>
  </r>
  <r>
    <n v="280"/>
    <s v="Pamela Ansman-Wolfe"/>
    <s v="Northwest"/>
    <n v="2013"/>
    <n v="4"/>
    <n v="3"/>
    <x v="2"/>
    <n v="5"/>
    <n v="141"/>
    <x v="528"/>
    <x v="1"/>
    <s v="Pamela Ansman-Wolfe"/>
    <s v="Match"/>
  </r>
  <r>
    <n v="280"/>
    <s v="Pamela Ansman-Wolfe"/>
    <s v="Northwest"/>
    <n v="2013"/>
    <n v="4"/>
    <n v="2"/>
    <x v="3"/>
    <n v="6"/>
    <n v="205"/>
    <x v="529"/>
    <x v="1"/>
    <s v="Pamela Ansman-Wolfe"/>
    <s v="Match"/>
  </r>
  <r>
    <n v="288"/>
    <s v="Rachel Valdez"/>
    <s v="Germany"/>
    <n v="2013"/>
    <n v="4"/>
    <n v="4"/>
    <x v="0"/>
    <n v="11"/>
    <n v="257"/>
    <x v="530"/>
    <x v="1"/>
    <s v="Rachel Valdez"/>
    <s v="Match"/>
  </r>
  <r>
    <n v="288"/>
    <s v="Rachel Valdez"/>
    <s v="Germany"/>
    <n v="2013"/>
    <n v="4"/>
    <n v="1"/>
    <x v="1"/>
    <n v="23"/>
    <n v="309"/>
    <x v="531"/>
    <x v="1"/>
    <s v="Rachel Valdez"/>
    <s v="Match"/>
  </r>
  <r>
    <n v="288"/>
    <s v="Rachel Valdez"/>
    <s v="Germany"/>
    <n v="2013"/>
    <n v="4"/>
    <n v="3"/>
    <x v="2"/>
    <n v="15"/>
    <n v="516"/>
    <x v="532"/>
    <x v="1"/>
    <s v="Rachel Valdez"/>
    <s v="Match"/>
  </r>
  <r>
    <n v="288"/>
    <s v="Rachel Valdez"/>
    <s v="Germany"/>
    <n v="2013"/>
    <n v="4"/>
    <n v="2"/>
    <x v="3"/>
    <n v="20"/>
    <n v="188"/>
    <x v="533"/>
    <x v="1"/>
    <s v="Rachel Valdez"/>
    <s v="Match"/>
  </r>
  <r>
    <n v="290"/>
    <s v="Ranjit Varkey Chudukatil"/>
    <s v="France"/>
    <n v="2013"/>
    <n v="4"/>
    <n v="4"/>
    <x v="0"/>
    <n v="8"/>
    <n v="259"/>
    <x v="534"/>
    <x v="1"/>
    <s v="Ranjit Varkey Chudukatil"/>
    <s v="Match"/>
  </r>
  <r>
    <n v="290"/>
    <s v="Ranjit Varkey Chudukatil"/>
    <s v="France"/>
    <n v="2013"/>
    <n v="4"/>
    <n v="1"/>
    <x v="1"/>
    <n v="24"/>
    <n v="601"/>
    <x v="535"/>
    <x v="1"/>
    <s v="Ranjit Varkey Chudukatil"/>
    <s v="Match"/>
  </r>
  <r>
    <n v="290"/>
    <s v="Ranjit Varkey Chudukatil"/>
    <s v="France"/>
    <n v="2013"/>
    <n v="4"/>
    <n v="3"/>
    <x v="2"/>
    <n v="18"/>
    <n v="482"/>
    <x v="536"/>
    <x v="1"/>
    <s v="Ranjit Varkey Chudukatil"/>
    <s v="Match"/>
  </r>
  <r>
    <n v="290"/>
    <s v="Ranjit Varkey Chudukatil"/>
    <s v="France"/>
    <n v="2013"/>
    <n v="4"/>
    <n v="2"/>
    <x v="3"/>
    <n v="15"/>
    <n v="366"/>
    <x v="537"/>
    <x v="1"/>
    <s v="Ranjit Varkey Chudukatil"/>
    <s v="Match"/>
  </r>
  <r>
    <n v="281"/>
    <s v="Shu Ito"/>
    <s v="Southwest"/>
    <n v="2013"/>
    <n v="4"/>
    <n v="4"/>
    <x v="0"/>
    <n v="8"/>
    <n v="141"/>
    <x v="538"/>
    <x v="1"/>
    <s v="Shu Ito"/>
    <s v="Match"/>
  </r>
  <r>
    <n v="281"/>
    <s v="Shu Ito"/>
    <s v="Southwest"/>
    <n v="2013"/>
    <n v="4"/>
    <n v="1"/>
    <x v="1"/>
    <n v="23"/>
    <n v="564"/>
    <x v="539"/>
    <x v="1"/>
    <s v="Shu Ito"/>
    <s v="Match"/>
  </r>
  <r>
    <n v="281"/>
    <s v="Shu Ito"/>
    <s v="Southwest"/>
    <n v="2013"/>
    <n v="4"/>
    <n v="3"/>
    <x v="2"/>
    <n v="18"/>
    <n v="384"/>
    <x v="540"/>
    <x v="1"/>
    <s v="Shu Ito"/>
    <s v="Match"/>
  </r>
  <r>
    <n v="281"/>
    <s v="Shu Ito"/>
    <s v="Southwest"/>
    <n v="2013"/>
    <n v="4"/>
    <n v="2"/>
    <x v="3"/>
    <n v="21"/>
    <n v="253"/>
    <x v="541"/>
    <x v="1"/>
    <s v="Shu Ito"/>
    <s v="Match"/>
  </r>
  <r>
    <n v="274"/>
    <s v="Stephen Jiang"/>
    <s v="Unassigned"/>
    <n v="2013"/>
    <n v="4"/>
    <n v="1"/>
    <x v="1"/>
    <n v="1"/>
    <n v="59"/>
    <x v="542"/>
    <x v="1"/>
    <s v="Stephen Jiang"/>
    <s v="Match"/>
  </r>
  <r>
    <n v="274"/>
    <s v="Stephen Jiang"/>
    <s v="Unassigned"/>
    <n v="2013"/>
    <n v="4"/>
    <n v="3"/>
    <x v="2"/>
    <n v="2"/>
    <n v="3"/>
    <x v="543"/>
    <x v="1"/>
    <s v="Stephen Jiang"/>
    <s v="Match"/>
  </r>
  <r>
    <n v="274"/>
    <s v="Stephen Jiang"/>
    <s v="Unassigned"/>
    <n v="2013"/>
    <n v="4"/>
    <n v="2"/>
    <x v="3"/>
    <n v="1"/>
    <n v="29"/>
    <x v="544"/>
    <x v="1"/>
    <s v="Stephen Jiang"/>
    <s v="Match"/>
  </r>
  <r>
    <n v="285"/>
    <s v="Syed Abbas"/>
    <s v="Unassigned"/>
    <n v="2013"/>
    <n v="4"/>
    <n v="4"/>
    <x v="0"/>
    <n v="1"/>
    <n v="43"/>
    <x v="545"/>
    <x v="2"/>
    <s v="Syed Abbas"/>
    <s v="Match"/>
  </r>
  <r>
    <n v="285"/>
    <s v="Syed Abbas"/>
    <s v="Unassigned"/>
    <n v="2013"/>
    <n v="4"/>
    <n v="1"/>
    <x v="1"/>
    <n v="5"/>
    <n v="39"/>
    <x v="546"/>
    <x v="2"/>
    <s v="Syed Abbas"/>
    <s v="Match"/>
  </r>
  <r>
    <n v="285"/>
    <s v="Syed Abbas"/>
    <s v="Unassigned"/>
    <n v="2013"/>
    <n v="4"/>
    <n v="3"/>
    <x v="2"/>
    <n v="1"/>
    <n v="38"/>
    <x v="547"/>
    <x v="2"/>
    <s v="Syed Abbas"/>
    <s v="Match"/>
  </r>
  <r>
    <n v="285"/>
    <s v="Syed Abbas"/>
    <s v="Unassigned"/>
    <n v="2013"/>
    <n v="4"/>
    <n v="2"/>
    <x v="3"/>
    <n v="2"/>
    <n v="16"/>
    <x v="548"/>
    <x v="2"/>
    <s v="Syed Abbas"/>
    <s v="Match"/>
  </r>
  <r>
    <n v="284"/>
    <s v="Tete Mensa-Annan"/>
    <s v="Northwest"/>
    <n v="2013"/>
    <n v="4"/>
    <n v="4"/>
    <x v="0"/>
    <n v="4"/>
    <n v="50"/>
    <x v="549"/>
    <x v="1"/>
    <s v="Tete Mensa-Annan"/>
    <s v="Match"/>
  </r>
  <r>
    <n v="284"/>
    <s v="Tete Mensa-Annan"/>
    <s v="Northwest"/>
    <n v="2013"/>
    <n v="4"/>
    <n v="1"/>
    <x v="1"/>
    <n v="21"/>
    <n v="372"/>
    <x v="550"/>
    <x v="1"/>
    <s v="Tete Mensa-Annan"/>
    <s v="Match"/>
  </r>
  <r>
    <n v="284"/>
    <s v="Tete Mensa-Annan"/>
    <s v="Northwest"/>
    <n v="2013"/>
    <n v="4"/>
    <n v="3"/>
    <x v="2"/>
    <n v="13"/>
    <n v="169"/>
    <x v="551"/>
    <x v="1"/>
    <s v="Tete Mensa-Annan"/>
    <s v="Match"/>
  </r>
  <r>
    <n v="284"/>
    <s v="Tete Mensa-Annan"/>
    <s v="Northwest"/>
    <n v="2013"/>
    <n v="4"/>
    <n v="2"/>
    <x v="3"/>
    <n v="17"/>
    <n v="154"/>
    <x v="552"/>
    <x v="1"/>
    <s v="Tete Mensa-Annan"/>
    <s v="Match"/>
  </r>
  <r>
    <n v="279"/>
    <s v="Tsvi Reiter"/>
    <s v="Southeast"/>
    <n v="2013"/>
    <n v="4"/>
    <n v="4"/>
    <x v="0"/>
    <n v="8"/>
    <n v="157"/>
    <x v="553"/>
    <x v="1"/>
    <s v="Tsvi Reiter"/>
    <s v="Match"/>
  </r>
  <r>
    <n v="279"/>
    <s v="Tsvi Reiter"/>
    <s v="Southeast"/>
    <n v="2013"/>
    <n v="4"/>
    <n v="1"/>
    <x v="1"/>
    <n v="35"/>
    <n v="501"/>
    <x v="554"/>
    <x v="1"/>
    <s v="Tsvi Reiter"/>
    <s v="Match"/>
  </r>
  <r>
    <n v="279"/>
    <s v="Tsvi Reiter"/>
    <s v="Southeast"/>
    <n v="2013"/>
    <n v="4"/>
    <n v="3"/>
    <x v="2"/>
    <n v="24"/>
    <n v="445"/>
    <x v="555"/>
    <x v="1"/>
    <s v="Tsvi Reiter"/>
    <s v="Match"/>
  </r>
  <r>
    <n v="279"/>
    <s v="Tsvi Reiter"/>
    <s v="Southeast"/>
    <n v="2013"/>
    <n v="4"/>
    <n v="2"/>
    <x v="3"/>
    <n v="23"/>
    <n v="227"/>
    <x v="556"/>
    <x v="1"/>
    <s v="Tsvi Reiter"/>
    <s v="Match"/>
  </r>
  <r>
    <n v="287"/>
    <s v="Amy Alberts"/>
    <s v="Unassigned"/>
    <n v="2014"/>
    <n v="1"/>
    <n v="1"/>
    <x v="1"/>
    <n v="3"/>
    <n v="65"/>
    <x v="557"/>
    <x v="2"/>
    <s v="Amy Alberts"/>
    <s v="Match"/>
  </r>
  <r>
    <n v="287"/>
    <s v="Amy Alberts"/>
    <s v="Unassigned"/>
    <n v="2014"/>
    <n v="1"/>
    <n v="3"/>
    <x v="2"/>
    <n v="1"/>
    <n v="2"/>
    <x v="558"/>
    <x v="2"/>
    <s v="Amy Alberts"/>
    <s v="Match"/>
  </r>
  <r>
    <n v="287"/>
    <s v="Amy Alberts"/>
    <s v="Unassigned"/>
    <n v="2014"/>
    <n v="1"/>
    <n v="2"/>
    <x v="3"/>
    <n v="2"/>
    <n v="15"/>
    <x v="559"/>
    <x v="2"/>
    <s v="Amy Alberts"/>
    <s v="Match"/>
  </r>
  <r>
    <n v="283"/>
    <s v="David Campbell"/>
    <s v="Northwest"/>
    <n v="2014"/>
    <n v="1"/>
    <n v="4"/>
    <x v="0"/>
    <n v="3"/>
    <n v="73"/>
    <x v="560"/>
    <x v="1"/>
    <s v="David Campbell"/>
    <s v="Match"/>
  </r>
  <r>
    <n v="283"/>
    <s v="David Campbell"/>
    <s v="Northwest"/>
    <n v="2014"/>
    <n v="1"/>
    <n v="1"/>
    <x v="1"/>
    <n v="15"/>
    <n v="316"/>
    <x v="561"/>
    <x v="1"/>
    <s v="David Campbell"/>
    <s v="Match"/>
  </r>
  <r>
    <n v="283"/>
    <s v="David Campbell"/>
    <s v="Northwest"/>
    <n v="2014"/>
    <n v="1"/>
    <n v="3"/>
    <x v="2"/>
    <n v="9"/>
    <n v="249"/>
    <x v="562"/>
    <x v="1"/>
    <s v="David Campbell"/>
    <s v="Match"/>
  </r>
  <r>
    <n v="283"/>
    <s v="David Campbell"/>
    <s v="Northwest"/>
    <n v="2014"/>
    <n v="1"/>
    <n v="2"/>
    <x v="3"/>
    <n v="14"/>
    <n v="278"/>
    <x v="563"/>
    <x v="1"/>
    <s v="David Campbell"/>
    <s v="Match"/>
  </r>
  <r>
    <n v="278"/>
    <s v="Garrett Vargas"/>
    <s v="Canada"/>
    <n v="2014"/>
    <n v="1"/>
    <n v="4"/>
    <x v="0"/>
    <n v="11"/>
    <n v="275"/>
    <x v="564"/>
    <x v="1"/>
    <s v="Garrett Vargas"/>
    <s v="Match"/>
  </r>
  <r>
    <n v="278"/>
    <s v="Garrett Vargas"/>
    <s v="Canada"/>
    <n v="2014"/>
    <n v="1"/>
    <n v="1"/>
    <x v="1"/>
    <n v="20"/>
    <n v="297"/>
    <x v="565"/>
    <x v="1"/>
    <s v="Garrett Vargas"/>
    <s v="Match"/>
  </r>
  <r>
    <n v="278"/>
    <s v="Garrett Vargas"/>
    <s v="Canada"/>
    <n v="2014"/>
    <n v="1"/>
    <n v="3"/>
    <x v="2"/>
    <n v="15"/>
    <n v="479"/>
    <x v="566"/>
    <x v="1"/>
    <s v="Garrett Vargas"/>
    <s v="Match"/>
  </r>
  <r>
    <n v="278"/>
    <s v="Garrett Vargas"/>
    <s v="Canada"/>
    <n v="2014"/>
    <n v="1"/>
    <n v="2"/>
    <x v="3"/>
    <n v="18"/>
    <n v="151"/>
    <x v="567"/>
    <x v="1"/>
    <s v="Garrett Vargas"/>
    <s v="Match"/>
  </r>
  <r>
    <n v="289"/>
    <s v="Jae Pak"/>
    <s v="United Kingdom"/>
    <n v="2014"/>
    <n v="1"/>
    <n v="4"/>
    <x v="0"/>
    <n v="18"/>
    <n v="426"/>
    <x v="568"/>
    <x v="1"/>
    <s v="Jae Pak"/>
    <s v="Match"/>
  </r>
  <r>
    <n v="289"/>
    <s v="Jae Pak"/>
    <s v="United Kingdom"/>
    <n v="2014"/>
    <n v="1"/>
    <n v="1"/>
    <x v="1"/>
    <n v="36"/>
    <n v="844"/>
    <x v="569"/>
    <x v="1"/>
    <s v="Jae Pak"/>
    <s v="Match"/>
  </r>
  <r>
    <n v="289"/>
    <s v="Jae Pak"/>
    <s v="United Kingdom"/>
    <n v="2014"/>
    <n v="1"/>
    <n v="3"/>
    <x v="2"/>
    <n v="32"/>
    <n v="948"/>
    <x v="570"/>
    <x v="1"/>
    <s v="Jae Pak"/>
    <s v="Match"/>
  </r>
  <r>
    <n v="289"/>
    <s v="Jae Pak"/>
    <s v="United Kingdom"/>
    <n v="2014"/>
    <n v="1"/>
    <n v="2"/>
    <x v="3"/>
    <n v="31"/>
    <n v="709"/>
    <x v="571"/>
    <x v="1"/>
    <s v="Jae Pak"/>
    <s v="Match"/>
  </r>
  <r>
    <n v="277"/>
    <s v="Jillian Carson"/>
    <s v="Central"/>
    <n v="2014"/>
    <n v="1"/>
    <n v="4"/>
    <x v="0"/>
    <n v="22"/>
    <n v="463"/>
    <x v="572"/>
    <x v="1"/>
    <s v="Jillian Carson"/>
    <s v="Match"/>
  </r>
  <r>
    <n v="277"/>
    <s v="Jillian Carson"/>
    <s v="Central"/>
    <n v="2014"/>
    <n v="1"/>
    <n v="1"/>
    <x v="1"/>
    <n v="34"/>
    <n v="656"/>
    <x v="573"/>
    <x v="1"/>
    <s v="Jillian Carson"/>
    <s v="Match"/>
  </r>
  <r>
    <n v="277"/>
    <s v="Jillian Carson"/>
    <s v="Central"/>
    <n v="2014"/>
    <n v="1"/>
    <n v="3"/>
    <x v="2"/>
    <n v="30"/>
    <n v="902"/>
    <x v="574"/>
    <x v="1"/>
    <s v="Jillian Carson"/>
    <s v="Match"/>
  </r>
  <r>
    <n v="277"/>
    <s v="Jillian Carson"/>
    <s v="Central"/>
    <n v="2014"/>
    <n v="1"/>
    <n v="2"/>
    <x v="3"/>
    <n v="39"/>
    <n v="470"/>
    <x v="575"/>
    <x v="1"/>
    <s v="Jillian Carson"/>
    <s v="Match"/>
  </r>
  <r>
    <n v="282"/>
    <s v="José Saraiva"/>
    <s v="Canada"/>
    <n v="2014"/>
    <n v="1"/>
    <n v="4"/>
    <x v="0"/>
    <n v="15"/>
    <n v="312"/>
    <x v="576"/>
    <x v="1"/>
    <s v="José Saraiva"/>
    <s v="Match"/>
  </r>
  <r>
    <n v="282"/>
    <s v="José Saraiva"/>
    <s v="Canada"/>
    <n v="2014"/>
    <n v="1"/>
    <n v="1"/>
    <x v="1"/>
    <n v="21"/>
    <n v="608"/>
    <x v="577"/>
    <x v="1"/>
    <s v="José Saraiva"/>
    <s v="Match"/>
  </r>
  <r>
    <n v="282"/>
    <s v="José Saraiva"/>
    <s v="Canada"/>
    <n v="2014"/>
    <n v="1"/>
    <n v="3"/>
    <x v="2"/>
    <n v="21"/>
    <n v="594"/>
    <x v="578"/>
    <x v="1"/>
    <s v="José Saraiva"/>
    <s v="Match"/>
  </r>
  <r>
    <n v="282"/>
    <s v="José Saraiva"/>
    <s v="Canada"/>
    <n v="2014"/>
    <n v="1"/>
    <n v="2"/>
    <x v="3"/>
    <n v="19"/>
    <n v="345"/>
    <x v="579"/>
    <x v="1"/>
    <s v="José Saraiva"/>
    <s v="Match"/>
  </r>
  <r>
    <n v="276"/>
    <s v="Linda Mitchell"/>
    <s v="Southwest"/>
    <n v="2014"/>
    <n v="1"/>
    <n v="4"/>
    <x v="0"/>
    <n v="14"/>
    <n v="370"/>
    <x v="580"/>
    <x v="1"/>
    <s v="Linda Mitchell"/>
    <s v="Match"/>
  </r>
  <r>
    <n v="276"/>
    <s v="Linda Mitchell"/>
    <s v="Southwest"/>
    <n v="2014"/>
    <n v="1"/>
    <n v="1"/>
    <x v="1"/>
    <n v="36"/>
    <n v="998"/>
    <x v="581"/>
    <x v="1"/>
    <s v="Linda Mitchell"/>
    <s v="Match"/>
  </r>
  <r>
    <n v="276"/>
    <s v="Linda Mitchell"/>
    <s v="Southwest"/>
    <n v="2014"/>
    <n v="1"/>
    <n v="3"/>
    <x v="2"/>
    <n v="27"/>
    <n v="810"/>
    <x v="582"/>
    <x v="1"/>
    <s v="Linda Mitchell"/>
    <s v="Match"/>
  </r>
  <r>
    <n v="276"/>
    <s v="Linda Mitchell"/>
    <s v="Southwest"/>
    <n v="2014"/>
    <n v="1"/>
    <n v="2"/>
    <x v="3"/>
    <n v="29"/>
    <n v="618"/>
    <x v="583"/>
    <x v="1"/>
    <s v="Linda Mitchell"/>
    <s v="Match"/>
  </r>
  <r>
    <n v="286"/>
    <s v="Lynn Tsoflias"/>
    <s v="Australia"/>
    <n v="2014"/>
    <n v="1"/>
    <n v="4"/>
    <x v="0"/>
    <n v="7"/>
    <n v="82"/>
    <x v="584"/>
    <x v="1"/>
    <s v="Lynn Tsoflias"/>
    <s v="Match"/>
  </r>
  <r>
    <n v="286"/>
    <s v="Lynn Tsoflias"/>
    <s v="Australia"/>
    <n v="2014"/>
    <n v="1"/>
    <n v="1"/>
    <x v="1"/>
    <n v="23"/>
    <n v="347"/>
    <x v="585"/>
    <x v="1"/>
    <s v="Lynn Tsoflias"/>
    <s v="Match"/>
  </r>
  <r>
    <n v="286"/>
    <s v="Lynn Tsoflias"/>
    <s v="Australia"/>
    <n v="2014"/>
    <n v="1"/>
    <n v="3"/>
    <x v="2"/>
    <n v="14"/>
    <n v="185"/>
    <x v="586"/>
    <x v="1"/>
    <s v="Lynn Tsoflias"/>
    <s v="Match"/>
  </r>
  <r>
    <n v="286"/>
    <s v="Lynn Tsoflias"/>
    <s v="Australia"/>
    <n v="2014"/>
    <n v="1"/>
    <n v="2"/>
    <x v="3"/>
    <n v="19"/>
    <n v="151"/>
    <x v="587"/>
    <x v="1"/>
    <s v="Lynn Tsoflias"/>
    <s v="Match"/>
  </r>
  <r>
    <n v="275"/>
    <s v="Michael Blythe"/>
    <s v="Northeast"/>
    <n v="2014"/>
    <n v="1"/>
    <n v="4"/>
    <x v="0"/>
    <n v="10"/>
    <n v="120"/>
    <x v="588"/>
    <x v="1"/>
    <s v="Michael Blythe"/>
    <s v="Match"/>
  </r>
  <r>
    <n v="275"/>
    <s v="Michael Blythe"/>
    <s v="Northeast"/>
    <n v="2014"/>
    <n v="1"/>
    <n v="1"/>
    <x v="1"/>
    <n v="34"/>
    <n v="629"/>
    <x v="589"/>
    <x v="1"/>
    <s v="Michael Blythe"/>
    <s v="Match"/>
  </r>
  <r>
    <n v="275"/>
    <s v="Michael Blythe"/>
    <s v="Northeast"/>
    <n v="2014"/>
    <n v="1"/>
    <n v="3"/>
    <x v="2"/>
    <n v="28"/>
    <n v="448"/>
    <x v="590"/>
    <x v="1"/>
    <s v="Michael Blythe"/>
    <s v="Match"/>
  </r>
  <r>
    <n v="275"/>
    <s v="Michael Blythe"/>
    <s v="Northeast"/>
    <n v="2014"/>
    <n v="1"/>
    <n v="2"/>
    <x v="3"/>
    <n v="28"/>
    <n v="550"/>
    <x v="591"/>
    <x v="1"/>
    <s v="Michael Blythe"/>
    <s v="Match"/>
  </r>
  <r>
    <n v="280"/>
    <s v="Pamela Ansman-Wolfe"/>
    <s v="Northwest"/>
    <n v="2014"/>
    <n v="1"/>
    <n v="4"/>
    <x v="0"/>
    <n v="2"/>
    <n v="75"/>
    <x v="592"/>
    <x v="1"/>
    <s v="Pamela Ansman-Wolfe"/>
    <s v="Match"/>
  </r>
  <r>
    <n v="280"/>
    <s v="Pamela Ansman-Wolfe"/>
    <s v="Northwest"/>
    <n v="2014"/>
    <n v="1"/>
    <n v="1"/>
    <x v="1"/>
    <n v="6"/>
    <n v="317"/>
    <x v="593"/>
    <x v="1"/>
    <s v="Pamela Ansman-Wolfe"/>
    <s v="Match"/>
  </r>
  <r>
    <n v="280"/>
    <s v="Pamela Ansman-Wolfe"/>
    <s v="Northwest"/>
    <n v="2014"/>
    <n v="1"/>
    <n v="3"/>
    <x v="2"/>
    <n v="5"/>
    <n v="184"/>
    <x v="594"/>
    <x v="1"/>
    <s v="Pamela Ansman-Wolfe"/>
    <s v="Match"/>
  </r>
  <r>
    <n v="280"/>
    <s v="Pamela Ansman-Wolfe"/>
    <s v="Northwest"/>
    <n v="2014"/>
    <n v="1"/>
    <n v="2"/>
    <x v="3"/>
    <n v="6"/>
    <n v="174"/>
    <x v="595"/>
    <x v="1"/>
    <s v="Pamela Ansman-Wolfe"/>
    <s v="Match"/>
  </r>
  <r>
    <n v="288"/>
    <s v="Rachel Valdez"/>
    <s v="Germany"/>
    <n v="2014"/>
    <n v="1"/>
    <n v="4"/>
    <x v="0"/>
    <n v="10"/>
    <n v="343"/>
    <x v="596"/>
    <x v="1"/>
    <s v="Rachel Valdez"/>
    <s v="Match"/>
  </r>
  <r>
    <n v="288"/>
    <s v="Rachel Valdez"/>
    <s v="Germany"/>
    <n v="2014"/>
    <n v="1"/>
    <n v="1"/>
    <x v="1"/>
    <n v="22"/>
    <n v="423"/>
    <x v="597"/>
    <x v="1"/>
    <s v="Rachel Valdez"/>
    <s v="Match"/>
  </r>
  <r>
    <n v="288"/>
    <s v="Rachel Valdez"/>
    <s v="Germany"/>
    <n v="2014"/>
    <n v="1"/>
    <n v="3"/>
    <x v="2"/>
    <n v="19"/>
    <n v="571"/>
    <x v="598"/>
    <x v="1"/>
    <s v="Rachel Valdez"/>
    <s v="Match"/>
  </r>
  <r>
    <n v="288"/>
    <s v="Rachel Valdez"/>
    <s v="Germany"/>
    <n v="2014"/>
    <n v="1"/>
    <n v="2"/>
    <x v="3"/>
    <n v="20"/>
    <n v="216"/>
    <x v="599"/>
    <x v="1"/>
    <s v="Rachel Valdez"/>
    <s v="Match"/>
  </r>
  <r>
    <n v="290"/>
    <s v="Ranjit Varkey Chudukatil"/>
    <s v="France"/>
    <n v="2014"/>
    <n v="1"/>
    <n v="4"/>
    <x v="0"/>
    <n v="12"/>
    <n v="364"/>
    <x v="600"/>
    <x v="1"/>
    <s v="Ranjit Varkey Chudukatil"/>
    <s v="Match"/>
  </r>
  <r>
    <n v="290"/>
    <s v="Ranjit Varkey Chudukatil"/>
    <s v="France"/>
    <n v="2014"/>
    <n v="1"/>
    <n v="1"/>
    <x v="1"/>
    <n v="26"/>
    <n v="682"/>
    <x v="601"/>
    <x v="1"/>
    <s v="Ranjit Varkey Chudukatil"/>
    <s v="Match"/>
  </r>
  <r>
    <n v="290"/>
    <s v="Ranjit Varkey Chudukatil"/>
    <s v="France"/>
    <n v="2014"/>
    <n v="1"/>
    <n v="3"/>
    <x v="2"/>
    <n v="17"/>
    <n v="640"/>
    <x v="602"/>
    <x v="1"/>
    <s v="Ranjit Varkey Chudukatil"/>
    <s v="Match"/>
  </r>
  <r>
    <n v="290"/>
    <s v="Ranjit Varkey Chudukatil"/>
    <s v="France"/>
    <n v="2014"/>
    <n v="1"/>
    <n v="2"/>
    <x v="3"/>
    <n v="21"/>
    <n v="555"/>
    <x v="603"/>
    <x v="1"/>
    <s v="Ranjit Varkey Chudukatil"/>
    <s v="Match"/>
  </r>
  <r>
    <n v="281"/>
    <s v="Shu Ito"/>
    <s v="Southwest"/>
    <n v="2014"/>
    <n v="1"/>
    <n v="4"/>
    <x v="0"/>
    <n v="11"/>
    <n v="248"/>
    <x v="604"/>
    <x v="1"/>
    <s v="Shu Ito"/>
    <s v="Match"/>
  </r>
  <r>
    <n v="281"/>
    <s v="Shu Ito"/>
    <s v="Southwest"/>
    <n v="2014"/>
    <n v="1"/>
    <n v="1"/>
    <x v="1"/>
    <n v="22"/>
    <n v="596"/>
    <x v="605"/>
    <x v="1"/>
    <s v="Shu Ito"/>
    <s v="Match"/>
  </r>
  <r>
    <n v="281"/>
    <s v="Shu Ito"/>
    <s v="Southwest"/>
    <n v="2014"/>
    <n v="1"/>
    <n v="3"/>
    <x v="2"/>
    <n v="18"/>
    <n v="520"/>
    <x v="606"/>
    <x v="1"/>
    <s v="Shu Ito"/>
    <s v="Match"/>
  </r>
  <r>
    <n v="281"/>
    <s v="Shu Ito"/>
    <s v="Southwest"/>
    <n v="2014"/>
    <n v="1"/>
    <n v="2"/>
    <x v="3"/>
    <n v="19"/>
    <n v="232"/>
    <x v="607"/>
    <x v="1"/>
    <s v="Shu Ito"/>
    <s v="Match"/>
  </r>
  <r>
    <n v="274"/>
    <s v="Stephen Jiang"/>
    <s v="Unassigned"/>
    <n v="2014"/>
    <n v="1"/>
    <n v="4"/>
    <x v="0"/>
    <n v="4"/>
    <n v="89"/>
    <x v="608"/>
    <x v="1"/>
    <s v="Stephen Jiang"/>
    <s v="Match"/>
  </r>
  <r>
    <n v="274"/>
    <s v="Stephen Jiang"/>
    <s v="Unassigned"/>
    <n v="2014"/>
    <n v="1"/>
    <n v="1"/>
    <x v="1"/>
    <n v="5"/>
    <n v="137"/>
    <x v="609"/>
    <x v="1"/>
    <s v="Stephen Jiang"/>
    <s v="Match"/>
  </r>
  <r>
    <n v="274"/>
    <s v="Stephen Jiang"/>
    <s v="Unassigned"/>
    <n v="2014"/>
    <n v="1"/>
    <n v="3"/>
    <x v="2"/>
    <n v="3"/>
    <n v="171"/>
    <x v="610"/>
    <x v="1"/>
    <s v="Stephen Jiang"/>
    <s v="Match"/>
  </r>
  <r>
    <n v="274"/>
    <s v="Stephen Jiang"/>
    <s v="Unassigned"/>
    <n v="2014"/>
    <n v="1"/>
    <n v="2"/>
    <x v="3"/>
    <n v="5"/>
    <n v="99"/>
    <x v="611"/>
    <x v="1"/>
    <s v="Stephen Jiang"/>
    <s v="Match"/>
  </r>
  <r>
    <n v="285"/>
    <s v="Syed Abbas"/>
    <s v="Unassigned"/>
    <n v="2014"/>
    <n v="1"/>
    <n v="4"/>
    <x v="0"/>
    <n v="2"/>
    <n v="7"/>
    <x v="612"/>
    <x v="1"/>
    <s v="Syed Abbas"/>
    <s v="Match"/>
  </r>
  <r>
    <n v="285"/>
    <s v="Syed Abbas"/>
    <s v="Unassigned"/>
    <n v="2014"/>
    <n v="1"/>
    <n v="1"/>
    <x v="1"/>
    <n v="1"/>
    <n v="14"/>
    <x v="613"/>
    <x v="1"/>
    <s v="Syed Abbas"/>
    <s v="Match"/>
  </r>
  <r>
    <n v="285"/>
    <s v="Syed Abbas"/>
    <s v="Unassigned"/>
    <n v="2014"/>
    <n v="1"/>
    <n v="3"/>
    <x v="2"/>
    <n v="2"/>
    <n v="42"/>
    <x v="614"/>
    <x v="1"/>
    <s v="Syed Abbas"/>
    <s v="Match"/>
  </r>
  <r>
    <n v="285"/>
    <s v="Syed Abbas"/>
    <s v="Unassigned"/>
    <n v="2014"/>
    <n v="1"/>
    <n v="2"/>
    <x v="3"/>
    <n v="1"/>
    <n v="5"/>
    <x v="615"/>
    <x v="1"/>
    <s v="Syed Abbas"/>
    <s v="Match"/>
  </r>
  <r>
    <n v="284"/>
    <s v="Tete Mensa-Annan"/>
    <s v="Northwest"/>
    <n v="2014"/>
    <n v="1"/>
    <n v="4"/>
    <x v="0"/>
    <n v="5"/>
    <n v="73"/>
    <x v="616"/>
    <x v="1"/>
    <s v="Tete Mensa-Annan"/>
    <s v="Match"/>
  </r>
  <r>
    <n v="284"/>
    <s v="Tete Mensa-Annan"/>
    <s v="Northwest"/>
    <n v="2014"/>
    <n v="1"/>
    <n v="1"/>
    <x v="1"/>
    <n v="21"/>
    <n v="467"/>
    <x v="617"/>
    <x v="1"/>
    <s v="Tete Mensa-Annan"/>
    <s v="Match"/>
  </r>
  <r>
    <n v="284"/>
    <s v="Tete Mensa-Annan"/>
    <s v="Northwest"/>
    <n v="2014"/>
    <n v="1"/>
    <n v="3"/>
    <x v="2"/>
    <n v="14"/>
    <n v="192"/>
    <x v="618"/>
    <x v="1"/>
    <s v="Tete Mensa-Annan"/>
    <s v="Match"/>
  </r>
  <r>
    <n v="284"/>
    <s v="Tete Mensa-Annan"/>
    <s v="Northwest"/>
    <n v="2014"/>
    <n v="1"/>
    <n v="2"/>
    <x v="3"/>
    <n v="14"/>
    <n v="185"/>
    <x v="619"/>
    <x v="1"/>
    <s v="Tete Mensa-Annan"/>
    <s v="Match"/>
  </r>
  <r>
    <n v="279"/>
    <s v="Tsvi Reiter"/>
    <s v="Southeast"/>
    <n v="2014"/>
    <n v="1"/>
    <n v="4"/>
    <x v="0"/>
    <n v="13"/>
    <n v="191"/>
    <x v="620"/>
    <x v="1"/>
    <s v="Tsvi Reiter"/>
    <s v="Match"/>
  </r>
  <r>
    <n v="279"/>
    <s v="Tsvi Reiter"/>
    <s v="Southeast"/>
    <n v="2014"/>
    <n v="1"/>
    <n v="1"/>
    <x v="1"/>
    <n v="34"/>
    <n v="539"/>
    <x v="621"/>
    <x v="1"/>
    <s v="Tsvi Reiter"/>
    <s v="Match"/>
  </r>
  <r>
    <n v="279"/>
    <s v="Tsvi Reiter"/>
    <s v="Southeast"/>
    <n v="2014"/>
    <n v="1"/>
    <n v="3"/>
    <x v="2"/>
    <n v="24"/>
    <n v="475"/>
    <x v="622"/>
    <x v="1"/>
    <s v="Tsvi Reiter"/>
    <s v="Match"/>
  </r>
  <r>
    <n v="279"/>
    <s v="Tsvi Reiter"/>
    <s v="Southeast"/>
    <n v="2014"/>
    <n v="1"/>
    <n v="2"/>
    <x v="3"/>
    <n v="28"/>
    <n v="275"/>
    <x v="623"/>
    <x v="1"/>
    <s v="Tsvi Reiter"/>
    <s v="Match"/>
  </r>
  <r>
    <n v="283"/>
    <s v="David Campbell"/>
    <s v="Northwest"/>
    <n v="2014"/>
    <n v="2"/>
    <n v="4"/>
    <x v="0"/>
    <n v="2"/>
    <n v="24"/>
    <x v="624"/>
    <x v="3"/>
    <s v="David Campbell"/>
    <s v="Match"/>
  </r>
  <r>
    <n v="283"/>
    <s v="David Campbell"/>
    <s v="Northwest"/>
    <n v="2014"/>
    <n v="2"/>
    <n v="1"/>
    <x v="1"/>
    <n v="3"/>
    <n v="124"/>
    <x v="625"/>
    <x v="3"/>
    <s v="David Campbell"/>
    <s v="Match"/>
  </r>
  <r>
    <n v="283"/>
    <s v="David Campbell"/>
    <s v="Northwest"/>
    <n v="2014"/>
    <n v="2"/>
    <n v="3"/>
    <x v="2"/>
    <n v="3"/>
    <n v="46"/>
    <x v="626"/>
    <x v="3"/>
    <s v="David Campbell"/>
    <s v="Match"/>
  </r>
  <r>
    <n v="283"/>
    <s v="David Campbell"/>
    <s v="Northwest"/>
    <n v="2014"/>
    <n v="2"/>
    <n v="2"/>
    <x v="3"/>
    <n v="4"/>
    <n v="112"/>
    <x v="627"/>
    <x v="3"/>
    <s v="David Campbell"/>
    <s v="Match"/>
  </r>
  <r>
    <n v="278"/>
    <s v="Garrett Vargas"/>
    <s v="Canada"/>
    <n v="2014"/>
    <n v="2"/>
    <n v="4"/>
    <x v="0"/>
    <n v="4"/>
    <n v="95"/>
    <x v="628"/>
    <x v="3"/>
    <s v="Garrett Vargas"/>
    <s v="Match"/>
  </r>
  <r>
    <n v="278"/>
    <s v="Garrett Vargas"/>
    <s v="Canada"/>
    <n v="2014"/>
    <n v="2"/>
    <n v="1"/>
    <x v="1"/>
    <n v="8"/>
    <n v="133"/>
    <x v="629"/>
    <x v="3"/>
    <s v="Garrett Vargas"/>
    <s v="Match"/>
  </r>
  <r>
    <n v="278"/>
    <s v="Garrett Vargas"/>
    <s v="Canada"/>
    <n v="2014"/>
    <n v="2"/>
    <n v="3"/>
    <x v="2"/>
    <n v="5"/>
    <n v="152"/>
    <x v="630"/>
    <x v="3"/>
    <s v="Garrett Vargas"/>
    <s v="Match"/>
  </r>
  <r>
    <n v="278"/>
    <s v="Garrett Vargas"/>
    <s v="Canada"/>
    <n v="2014"/>
    <n v="2"/>
    <n v="2"/>
    <x v="3"/>
    <n v="9"/>
    <n v="104"/>
    <x v="631"/>
    <x v="3"/>
    <s v="Garrett Vargas"/>
    <s v="Match"/>
  </r>
  <r>
    <n v="289"/>
    <s v="Jae Pak"/>
    <s v="United Kingdom"/>
    <n v="2014"/>
    <n v="2"/>
    <n v="4"/>
    <x v="0"/>
    <n v="7"/>
    <n v="237"/>
    <x v="632"/>
    <x v="3"/>
    <s v="Jae Pak"/>
    <s v="Match"/>
  </r>
  <r>
    <n v="289"/>
    <s v="Jae Pak"/>
    <s v="United Kingdom"/>
    <n v="2014"/>
    <n v="2"/>
    <n v="1"/>
    <x v="1"/>
    <n v="19"/>
    <n v="391"/>
    <x v="633"/>
    <x v="3"/>
    <s v="Jae Pak"/>
    <s v="Match"/>
  </r>
  <r>
    <n v="289"/>
    <s v="Jae Pak"/>
    <s v="United Kingdom"/>
    <n v="2014"/>
    <n v="2"/>
    <n v="3"/>
    <x v="2"/>
    <n v="13"/>
    <n v="556"/>
    <x v="634"/>
    <x v="3"/>
    <s v="Jae Pak"/>
    <s v="Match"/>
  </r>
  <r>
    <n v="289"/>
    <s v="Jae Pak"/>
    <s v="United Kingdom"/>
    <n v="2014"/>
    <n v="2"/>
    <n v="2"/>
    <x v="3"/>
    <n v="15"/>
    <n v="350"/>
    <x v="635"/>
    <x v="3"/>
    <s v="Jae Pak"/>
    <s v="Match"/>
  </r>
  <r>
    <n v="277"/>
    <s v="Jillian Carson"/>
    <s v="Central"/>
    <n v="2014"/>
    <n v="2"/>
    <n v="4"/>
    <x v="0"/>
    <n v="6"/>
    <n v="240"/>
    <x v="636"/>
    <x v="3"/>
    <s v="Jillian Carson"/>
    <s v="Match"/>
  </r>
  <r>
    <n v="277"/>
    <s v="Jillian Carson"/>
    <s v="Central"/>
    <n v="2014"/>
    <n v="2"/>
    <n v="1"/>
    <x v="1"/>
    <n v="11"/>
    <n v="327"/>
    <x v="637"/>
    <x v="3"/>
    <s v="Jillian Carson"/>
    <s v="Match"/>
  </r>
  <r>
    <n v="277"/>
    <s v="Jillian Carson"/>
    <s v="Central"/>
    <n v="2014"/>
    <n v="2"/>
    <n v="3"/>
    <x v="2"/>
    <n v="10"/>
    <n v="392"/>
    <x v="638"/>
    <x v="3"/>
    <s v="Jillian Carson"/>
    <s v="Match"/>
  </r>
  <r>
    <n v="277"/>
    <s v="Jillian Carson"/>
    <s v="Central"/>
    <n v="2014"/>
    <n v="2"/>
    <n v="2"/>
    <x v="3"/>
    <n v="12"/>
    <n v="177"/>
    <x v="639"/>
    <x v="3"/>
    <s v="Jillian Carson"/>
    <s v="Match"/>
  </r>
  <r>
    <n v="282"/>
    <s v="José Saraiva"/>
    <s v="Canada"/>
    <n v="2014"/>
    <n v="2"/>
    <n v="4"/>
    <x v="0"/>
    <n v="6"/>
    <n v="182"/>
    <x v="640"/>
    <x v="3"/>
    <s v="José Saraiva"/>
    <s v="Match"/>
  </r>
  <r>
    <n v="282"/>
    <s v="José Saraiva"/>
    <s v="Canada"/>
    <n v="2014"/>
    <n v="2"/>
    <n v="1"/>
    <x v="1"/>
    <n v="9"/>
    <n v="412"/>
    <x v="641"/>
    <x v="3"/>
    <s v="José Saraiva"/>
    <s v="Match"/>
  </r>
  <r>
    <n v="282"/>
    <s v="José Saraiva"/>
    <s v="Canada"/>
    <n v="2014"/>
    <n v="2"/>
    <n v="3"/>
    <x v="2"/>
    <n v="9"/>
    <n v="304"/>
    <x v="642"/>
    <x v="3"/>
    <s v="José Saraiva"/>
    <s v="Match"/>
  </r>
  <r>
    <n v="282"/>
    <s v="José Saraiva"/>
    <s v="Canada"/>
    <n v="2014"/>
    <n v="2"/>
    <n v="2"/>
    <x v="3"/>
    <n v="11"/>
    <n v="274"/>
    <x v="643"/>
    <x v="3"/>
    <s v="José Saraiva"/>
    <s v="Match"/>
  </r>
  <r>
    <n v="276"/>
    <s v="Linda Mitchell"/>
    <s v="Southwest"/>
    <n v="2014"/>
    <n v="2"/>
    <n v="4"/>
    <x v="0"/>
    <n v="7"/>
    <n v="153"/>
    <x v="644"/>
    <x v="3"/>
    <s v="Linda Mitchell"/>
    <s v="Match"/>
  </r>
  <r>
    <n v="276"/>
    <s v="Linda Mitchell"/>
    <s v="Southwest"/>
    <n v="2014"/>
    <n v="2"/>
    <n v="1"/>
    <x v="1"/>
    <n v="13"/>
    <n v="271"/>
    <x v="645"/>
    <x v="3"/>
    <s v="Linda Mitchell"/>
    <s v="Match"/>
  </r>
  <r>
    <n v="276"/>
    <s v="Linda Mitchell"/>
    <s v="Southwest"/>
    <n v="2014"/>
    <n v="2"/>
    <n v="3"/>
    <x v="2"/>
    <n v="14"/>
    <n v="302"/>
    <x v="646"/>
    <x v="3"/>
    <s v="Linda Mitchell"/>
    <s v="Match"/>
  </r>
  <r>
    <n v="276"/>
    <s v="Linda Mitchell"/>
    <s v="Southwest"/>
    <n v="2014"/>
    <n v="2"/>
    <n v="2"/>
    <x v="3"/>
    <n v="17"/>
    <n v="189"/>
    <x v="647"/>
    <x v="3"/>
    <s v="Linda Mitchell"/>
    <s v="Match"/>
  </r>
  <r>
    <n v="286"/>
    <s v="Lynn Tsoflias"/>
    <s v="Australia"/>
    <n v="2014"/>
    <n v="2"/>
    <n v="4"/>
    <x v="0"/>
    <n v="7"/>
    <n v="190"/>
    <x v="648"/>
    <x v="3"/>
    <s v="Lynn Tsoflias"/>
    <s v="Match"/>
  </r>
  <r>
    <n v="286"/>
    <s v="Lynn Tsoflias"/>
    <s v="Australia"/>
    <n v="2014"/>
    <n v="2"/>
    <n v="1"/>
    <x v="1"/>
    <n v="13"/>
    <n v="206"/>
    <x v="649"/>
    <x v="3"/>
    <s v="Lynn Tsoflias"/>
    <s v="Match"/>
  </r>
  <r>
    <n v="286"/>
    <s v="Lynn Tsoflias"/>
    <s v="Australia"/>
    <n v="2014"/>
    <n v="2"/>
    <n v="3"/>
    <x v="2"/>
    <n v="9"/>
    <n v="303"/>
    <x v="650"/>
    <x v="3"/>
    <s v="Lynn Tsoflias"/>
    <s v="Match"/>
  </r>
  <r>
    <n v="286"/>
    <s v="Lynn Tsoflias"/>
    <s v="Australia"/>
    <n v="2014"/>
    <n v="2"/>
    <n v="2"/>
    <x v="3"/>
    <n v="12"/>
    <n v="189"/>
    <x v="651"/>
    <x v="3"/>
    <s v="Lynn Tsoflias"/>
    <s v="Match"/>
  </r>
  <r>
    <n v="275"/>
    <s v="Michael Blythe"/>
    <s v="Northeast"/>
    <n v="2014"/>
    <n v="2"/>
    <n v="4"/>
    <x v="0"/>
    <n v="6"/>
    <n v="103"/>
    <x v="652"/>
    <x v="3"/>
    <s v="Michael Blythe"/>
    <s v="Match"/>
  </r>
  <r>
    <n v="275"/>
    <s v="Michael Blythe"/>
    <s v="Northeast"/>
    <n v="2014"/>
    <n v="2"/>
    <n v="1"/>
    <x v="1"/>
    <n v="18"/>
    <n v="297"/>
    <x v="653"/>
    <x v="3"/>
    <s v="Michael Blythe"/>
    <s v="Match"/>
  </r>
  <r>
    <n v="275"/>
    <s v="Michael Blythe"/>
    <s v="Northeast"/>
    <n v="2014"/>
    <n v="2"/>
    <n v="3"/>
    <x v="2"/>
    <n v="12"/>
    <n v="295"/>
    <x v="654"/>
    <x v="3"/>
    <s v="Michael Blythe"/>
    <s v="Match"/>
  </r>
  <r>
    <n v="275"/>
    <s v="Michael Blythe"/>
    <s v="Northeast"/>
    <n v="2014"/>
    <n v="2"/>
    <n v="2"/>
    <x v="3"/>
    <n v="15"/>
    <n v="375"/>
    <x v="655"/>
    <x v="3"/>
    <s v="Michael Blythe"/>
    <s v="Match"/>
  </r>
  <r>
    <n v="280"/>
    <s v="Pamela Ansman-Wolfe"/>
    <s v="Northwest"/>
    <n v="2014"/>
    <n v="2"/>
    <n v="4"/>
    <x v="0"/>
    <n v="2"/>
    <n v="8"/>
    <x v="656"/>
    <x v="3"/>
    <s v="Pamela Ansman-Wolfe"/>
    <s v="Match"/>
  </r>
  <r>
    <n v="280"/>
    <s v="Pamela Ansman-Wolfe"/>
    <s v="Northwest"/>
    <n v="2014"/>
    <n v="2"/>
    <n v="1"/>
    <x v="1"/>
    <n v="3"/>
    <n v="142"/>
    <x v="657"/>
    <x v="3"/>
    <s v="Pamela Ansman-Wolfe"/>
    <s v="Match"/>
  </r>
  <r>
    <n v="280"/>
    <s v="Pamela Ansman-Wolfe"/>
    <s v="Northwest"/>
    <n v="2014"/>
    <n v="2"/>
    <n v="3"/>
    <x v="2"/>
    <n v="2"/>
    <n v="41"/>
    <x v="658"/>
    <x v="3"/>
    <s v="Pamela Ansman-Wolfe"/>
    <s v="Match"/>
  </r>
  <r>
    <n v="280"/>
    <s v="Pamela Ansman-Wolfe"/>
    <s v="Northwest"/>
    <n v="2014"/>
    <n v="2"/>
    <n v="2"/>
    <x v="3"/>
    <n v="3"/>
    <n v="182"/>
    <x v="659"/>
    <x v="3"/>
    <s v="Pamela Ansman-Wolfe"/>
    <s v="Match"/>
  </r>
  <r>
    <n v="288"/>
    <s v="Rachel Valdez"/>
    <s v="Germany"/>
    <n v="2014"/>
    <n v="2"/>
    <n v="4"/>
    <x v="0"/>
    <n v="4"/>
    <n v="67"/>
    <x v="660"/>
    <x v="3"/>
    <s v="Rachel Valdez"/>
    <s v="Match"/>
  </r>
  <r>
    <n v="288"/>
    <s v="Rachel Valdez"/>
    <s v="Germany"/>
    <n v="2014"/>
    <n v="2"/>
    <n v="1"/>
    <x v="1"/>
    <n v="8"/>
    <n v="130"/>
    <x v="661"/>
    <x v="3"/>
    <s v="Rachel Valdez"/>
    <s v="Match"/>
  </r>
  <r>
    <n v="288"/>
    <s v="Rachel Valdez"/>
    <s v="Germany"/>
    <n v="2014"/>
    <n v="2"/>
    <n v="3"/>
    <x v="2"/>
    <n v="9"/>
    <n v="135"/>
    <x v="662"/>
    <x v="3"/>
    <s v="Rachel Valdez"/>
    <s v="Match"/>
  </r>
  <r>
    <n v="288"/>
    <s v="Rachel Valdez"/>
    <s v="Germany"/>
    <n v="2014"/>
    <n v="2"/>
    <n v="2"/>
    <x v="3"/>
    <n v="8"/>
    <n v="113"/>
    <x v="663"/>
    <x v="3"/>
    <s v="Rachel Valdez"/>
    <s v="Match"/>
  </r>
  <r>
    <n v="290"/>
    <s v="Ranjit Varkey Chudukatil"/>
    <s v="France"/>
    <n v="2014"/>
    <n v="2"/>
    <n v="4"/>
    <x v="0"/>
    <n v="3"/>
    <n v="92"/>
    <x v="664"/>
    <x v="3"/>
    <s v="Ranjit Varkey Chudukatil"/>
    <s v="Match"/>
  </r>
  <r>
    <n v="290"/>
    <s v="Ranjit Varkey Chudukatil"/>
    <s v="France"/>
    <n v="2014"/>
    <n v="2"/>
    <n v="1"/>
    <x v="1"/>
    <n v="6"/>
    <n v="108"/>
    <x v="665"/>
    <x v="3"/>
    <s v="Ranjit Varkey Chudukatil"/>
    <s v="Match"/>
  </r>
  <r>
    <n v="290"/>
    <s v="Ranjit Varkey Chudukatil"/>
    <s v="France"/>
    <n v="2014"/>
    <n v="2"/>
    <n v="3"/>
    <x v="2"/>
    <n v="6"/>
    <n v="137"/>
    <x v="666"/>
    <x v="3"/>
    <s v="Ranjit Varkey Chudukatil"/>
    <s v="Match"/>
  </r>
  <r>
    <n v="290"/>
    <s v="Ranjit Varkey Chudukatil"/>
    <s v="France"/>
    <n v="2014"/>
    <n v="2"/>
    <n v="2"/>
    <x v="3"/>
    <n v="5"/>
    <n v="108"/>
    <x v="667"/>
    <x v="3"/>
    <s v="Ranjit Varkey Chudukatil"/>
    <s v="Match"/>
  </r>
  <r>
    <n v="281"/>
    <s v="Shu Ito"/>
    <s v="Southwest"/>
    <n v="2014"/>
    <n v="2"/>
    <n v="4"/>
    <x v="0"/>
    <n v="4"/>
    <n v="12"/>
    <x v="668"/>
    <x v="3"/>
    <s v="Shu Ito"/>
    <s v="Match"/>
  </r>
  <r>
    <n v="281"/>
    <s v="Shu Ito"/>
    <s v="Southwest"/>
    <n v="2014"/>
    <n v="2"/>
    <n v="1"/>
    <x v="1"/>
    <n v="9"/>
    <n v="189"/>
    <x v="669"/>
    <x v="3"/>
    <s v="Shu Ito"/>
    <s v="Match"/>
  </r>
  <r>
    <n v="281"/>
    <s v="Shu Ito"/>
    <s v="Southwest"/>
    <n v="2014"/>
    <n v="2"/>
    <n v="3"/>
    <x v="2"/>
    <n v="7"/>
    <n v="81"/>
    <x v="670"/>
    <x v="3"/>
    <s v="Shu Ito"/>
    <s v="Match"/>
  </r>
  <r>
    <n v="281"/>
    <s v="Shu Ito"/>
    <s v="Southwest"/>
    <n v="2014"/>
    <n v="2"/>
    <n v="2"/>
    <x v="3"/>
    <n v="10"/>
    <n v="172"/>
    <x v="671"/>
    <x v="3"/>
    <s v="Shu Ito"/>
    <s v="Match"/>
  </r>
  <r>
    <n v="274"/>
    <s v="Stephen Jiang"/>
    <s v="Unassigned"/>
    <n v="2014"/>
    <n v="2"/>
    <n v="4"/>
    <x v="0"/>
    <n v="1"/>
    <n v="46"/>
    <x v="672"/>
    <x v="3"/>
    <s v="Stephen Jiang"/>
    <s v="Match"/>
  </r>
  <r>
    <n v="274"/>
    <s v="Stephen Jiang"/>
    <s v="Unassigned"/>
    <n v="2014"/>
    <n v="2"/>
    <n v="1"/>
    <x v="1"/>
    <n v="2"/>
    <n v="47"/>
    <x v="673"/>
    <x v="3"/>
    <s v="Stephen Jiang"/>
    <s v="Match"/>
  </r>
  <r>
    <n v="274"/>
    <s v="Stephen Jiang"/>
    <s v="Unassigned"/>
    <n v="2014"/>
    <n v="2"/>
    <n v="3"/>
    <x v="2"/>
    <n v="1"/>
    <n v="30"/>
    <x v="674"/>
    <x v="3"/>
    <s v="Stephen Jiang"/>
    <s v="Match"/>
  </r>
  <r>
    <n v="274"/>
    <s v="Stephen Jiang"/>
    <s v="Unassigned"/>
    <n v="2014"/>
    <n v="2"/>
    <n v="2"/>
    <x v="3"/>
    <n v="1"/>
    <n v="19"/>
    <x v="675"/>
    <x v="3"/>
    <s v="Stephen Jiang"/>
    <s v="Match"/>
  </r>
  <r>
    <n v="285"/>
    <s v="Syed Abbas"/>
    <s v="Unassigned"/>
    <n v="2014"/>
    <n v="2"/>
    <n v="1"/>
    <x v="1"/>
    <n v="2"/>
    <n v="5"/>
    <x v="676"/>
    <x v="3"/>
    <s v="Syed Abbas"/>
    <s v="Match"/>
  </r>
  <r>
    <n v="284"/>
    <s v="Tete Mensa-Annan"/>
    <s v="Northwest"/>
    <n v="2014"/>
    <n v="2"/>
    <n v="4"/>
    <x v="0"/>
    <n v="4"/>
    <n v="46"/>
    <x v="677"/>
    <x v="3"/>
    <s v="Tete Mensa-Annan"/>
    <s v="Match"/>
  </r>
  <r>
    <n v="284"/>
    <s v="Tete Mensa-Annan"/>
    <s v="Northwest"/>
    <n v="2014"/>
    <n v="2"/>
    <n v="1"/>
    <x v="1"/>
    <n v="9"/>
    <n v="135"/>
    <x v="678"/>
    <x v="3"/>
    <s v="Tete Mensa-Annan"/>
    <s v="Match"/>
  </r>
  <r>
    <n v="284"/>
    <s v="Tete Mensa-Annan"/>
    <s v="Northwest"/>
    <n v="2014"/>
    <n v="2"/>
    <n v="3"/>
    <x v="2"/>
    <n v="5"/>
    <n v="107"/>
    <x v="679"/>
    <x v="3"/>
    <s v="Tete Mensa-Annan"/>
    <s v="Match"/>
  </r>
  <r>
    <n v="284"/>
    <s v="Tete Mensa-Annan"/>
    <s v="Northwest"/>
    <n v="2014"/>
    <n v="2"/>
    <n v="2"/>
    <x v="3"/>
    <n v="10"/>
    <n v="89"/>
    <x v="680"/>
    <x v="3"/>
    <s v="Tete Mensa-Annan"/>
    <s v="Match"/>
  </r>
  <r>
    <n v="279"/>
    <s v="Tsvi Reiter"/>
    <s v="Southeast"/>
    <n v="2014"/>
    <n v="2"/>
    <n v="4"/>
    <x v="0"/>
    <n v="3"/>
    <n v="80"/>
    <x v="681"/>
    <x v="3"/>
    <s v="Tsvi Reiter"/>
    <s v="Match"/>
  </r>
  <r>
    <n v="279"/>
    <s v="Tsvi Reiter"/>
    <s v="Southeast"/>
    <n v="2014"/>
    <n v="2"/>
    <n v="1"/>
    <x v="1"/>
    <n v="11"/>
    <n v="218"/>
    <x v="682"/>
    <x v="3"/>
    <s v="Tsvi Reiter"/>
    <s v="Match"/>
  </r>
  <r>
    <n v="279"/>
    <s v="Tsvi Reiter"/>
    <s v="Southeast"/>
    <n v="2014"/>
    <n v="2"/>
    <n v="3"/>
    <x v="2"/>
    <n v="8"/>
    <n v="132"/>
    <x v="683"/>
    <x v="3"/>
    <s v="Tsvi Reiter"/>
    <s v="Match"/>
  </r>
  <r>
    <n v="279"/>
    <s v="Tsvi Reiter"/>
    <s v="Southeast"/>
    <n v="2014"/>
    <n v="2"/>
    <n v="2"/>
    <x v="3"/>
    <n v="9"/>
    <n v="102"/>
    <x v="684"/>
    <x v="3"/>
    <s v="Tsvi Reiter"/>
    <s v="Match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37BE95-5775-4B9F-9809-B738A5BC415E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10" firstHeaderRow="1" firstDataRow="3" firstDataCol="1"/>
  <pivotFields count="13"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dataField="1" showAll="0">
      <items count="686">
        <item x="192"/>
        <item x="22"/>
        <item x="4"/>
        <item x="134"/>
        <item x="10"/>
        <item x="558"/>
        <item x="8"/>
        <item x="543"/>
        <item x="64"/>
        <item x="6"/>
        <item x="422"/>
        <item x="0"/>
        <item x="12"/>
        <item x="68"/>
        <item x="194"/>
        <item x="2"/>
        <item x="615"/>
        <item x="27"/>
        <item x="656"/>
        <item x="19"/>
        <item x="302"/>
        <item x="17"/>
        <item x="31"/>
        <item x="7"/>
        <item x="250"/>
        <item x="195"/>
        <item x="668"/>
        <item x="278"/>
        <item x="612"/>
        <item x="624"/>
        <item x="105"/>
        <item x="140"/>
        <item x="23"/>
        <item x="35"/>
        <item x="55"/>
        <item x="346"/>
        <item x="14"/>
        <item x="248"/>
        <item x="51"/>
        <item x="334"/>
        <item x="290"/>
        <item x="29"/>
        <item x="33"/>
        <item x="88"/>
        <item x="72"/>
        <item x="70"/>
        <item x="25"/>
        <item x="74"/>
        <item x="92"/>
        <item x="184"/>
        <item x="101"/>
        <item x="266"/>
        <item x="304"/>
        <item x="94"/>
        <item x="306"/>
        <item x="342"/>
        <item x="57"/>
        <item x="294"/>
        <item x="109"/>
        <item x="237"/>
        <item x="37"/>
        <item x="547"/>
        <item x="545"/>
        <item x="674"/>
        <item x="107"/>
        <item x="286"/>
        <item x="47"/>
        <item x="414"/>
        <item x="298"/>
        <item x="282"/>
        <item x="196"/>
        <item x="672"/>
        <item x="224"/>
        <item x="410"/>
        <item x="20"/>
        <item x="59"/>
        <item x="96"/>
        <item x="458"/>
        <item x="677"/>
        <item x="239"/>
        <item x="614"/>
        <item x="144"/>
        <item x="350"/>
        <item x="129"/>
        <item x="322"/>
        <item x="3"/>
        <item x="90"/>
        <item x="53"/>
        <item x="84"/>
        <item x="549"/>
        <item x="254"/>
        <item x="626"/>
        <item x="658"/>
        <item x="39"/>
        <item x="338"/>
        <item x="490"/>
        <item x="526"/>
        <item x="61"/>
        <item x="660"/>
        <item x="616"/>
        <item x="681"/>
        <item x="592"/>
        <item x="424"/>
        <item x="274"/>
        <item x="127"/>
        <item x="43"/>
        <item x="560"/>
        <item x="49"/>
        <item x="119"/>
        <item x="98"/>
        <item x="362"/>
        <item x="124"/>
        <item x="131"/>
        <item x="310"/>
        <item x="160"/>
        <item x="136"/>
        <item x="212"/>
        <item x="394"/>
        <item x="386"/>
        <item x="111"/>
        <item x="670"/>
        <item x="354"/>
        <item x="80"/>
        <item x="243"/>
        <item x="494"/>
        <item x="86"/>
        <item x="180"/>
        <item x="172"/>
        <item x="664"/>
        <item x="76"/>
        <item x="103"/>
        <item x="66"/>
        <item x="45"/>
        <item x="628"/>
        <item x="232"/>
        <item x="228"/>
        <item x="474"/>
        <item x="412"/>
        <item x="200"/>
        <item x="559"/>
        <item x="608"/>
        <item x="176"/>
        <item x="584"/>
        <item x="652"/>
        <item x="188"/>
        <item x="348"/>
        <item x="135"/>
        <item x="679"/>
        <item x="138"/>
        <item x="644"/>
        <item x="330"/>
        <item x="148"/>
        <item x="358"/>
        <item x="117"/>
        <item x="548"/>
        <item x="270"/>
        <item x="11"/>
        <item x="292"/>
        <item x="121"/>
        <item x="388"/>
        <item x="450"/>
        <item x="262"/>
        <item x="156"/>
        <item x="426"/>
        <item x="280"/>
        <item x="683"/>
        <item x="588"/>
        <item x="336"/>
        <item x="82"/>
        <item x="168"/>
        <item x="482"/>
        <item x="538"/>
        <item x="41"/>
        <item x="666"/>
        <item x="314"/>
        <item x="553"/>
        <item x="640"/>
        <item x="78"/>
        <item x="305"/>
        <item x="522"/>
        <item x="478"/>
        <item x="142"/>
        <item x="252"/>
        <item x="258"/>
        <item x="318"/>
        <item x="152"/>
        <item x="208"/>
        <item x="675"/>
        <item x="676"/>
        <item x="620"/>
        <item x="662"/>
        <item x="618"/>
        <item x="416"/>
        <item x="551"/>
        <item x="186"/>
        <item x="30"/>
        <item x="492"/>
        <item x="630"/>
        <item x="326"/>
        <item x="164"/>
        <item x="498"/>
        <item x="510"/>
        <item x="528"/>
        <item x="296"/>
        <item x="360"/>
        <item x="114"/>
        <item x="16"/>
        <item x="610"/>
        <item x="586"/>
        <item x="648"/>
        <item x="476"/>
        <item x="249"/>
        <item x="518"/>
        <item x="220"/>
        <item x="26"/>
        <item x="349"/>
        <item x="594"/>
        <item x="636"/>
        <item x="216"/>
        <item x="226"/>
        <item x="198"/>
        <item x="418"/>
        <item x="632"/>
        <item x="100"/>
        <item x="604"/>
        <item x="496"/>
        <item x="204"/>
        <item x="484"/>
        <item x="344"/>
        <item x="241"/>
        <item x="378"/>
        <item x="530"/>
        <item x="268"/>
        <item x="534"/>
        <item x="460"/>
        <item x="486"/>
        <item x="366"/>
        <item x="480"/>
        <item x="564"/>
        <item x="308"/>
        <item x="284"/>
        <item x="364"/>
        <item x="390"/>
        <item x="398"/>
        <item x="646"/>
        <item x="425"/>
        <item x="452"/>
        <item x="454"/>
        <item x="470"/>
        <item x="576"/>
        <item x="562"/>
        <item x="406"/>
        <item x="352"/>
        <item x="514"/>
        <item x="162"/>
        <item x="146"/>
        <item x="596"/>
        <item x="324"/>
        <item x="396"/>
        <item x="428"/>
        <item x="520"/>
        <item x="5"/>
        <item x="580"/>
        <item x="256"/>
        <item x="654"/>
        <item x="642"/>
        <item x="300"/>
        <item x="650"/>
        <item x="506"/>
        <item x="288"/>
        <item x="402"/>
        <item x="430"/>
        <item x="638"/>
        <item x="500"/>
        <item x="544"/>
        <item x="600"/>
        <item x="540"/>
        <item x="462"/>
        <item x="182"/>
        <item x="502"/>
        <item x="238"/>
        <item x="276"/>
        <item x="340"/>
        <item x="568"/>
        <item x="572"/>
        <item x="370"/>
        <item x="374"/>
        <item x="590"/>
        <item x="214"/>
        <item x="466"/>
        <item x="442"/>
        <item x="434"/>
        <item x="512"/>
        <item x="193"/>
        <item x="174"/>
        <item x="230"/>
        <item x="382"/>
        <item x="555"/>
        <item x="312"/>
        <item x="566"/>
        <item x="524"/>
        <item x="234"/>
        <item x="606"/>
        <item x="622"/>
        <item x="158"/>
        <item x="536"/>
        <item x="446"/>
        <item x="75"/>
        <item x="532"/>
        <item x="38"/>
        <item x="34"/>
        <item x="15"/>
        <item x="178"/>
        <item x="332"/>
        <item x="613"/>
        <item x="598"/>
        <item x="150"/>
        <item x="380"/>
        <item x="432"/>
        <item x="634"/>
        <item x="400"/>
        <item x="356"/>
        <item x="438"/>
        <item x="202"/>
        <item x="71"/>
        <item x="245"/>
        <item x="368"/>
        <item x="95"/>
        <item x="413"/>
        <item x="488"/>
        <item x="293"/>
        <item x="578"/>
        <item x="143"/>
        <item x="481"/>
        <item x="472"/>
        <item x="611"/>
        <item x="281"/>
        <item x="253"/>
        <item x="602"/>
        <item x="627"/>
        <item x="190"/>
        <item x="58"/>
        <item x="456"/>
        <item x="108"/>
        <item x="337"/>
        <item x="297"/>
        <item x="408"/>
        <item x="516"/>
        <item x="464"/>
        <item x="582"/>
        <item x="680"/>
        <item x="420"/>
        <item x="667"/>
        <item x="663"/>
        <item x="468"/>
        <item x="257"/>
        <item x="444"/>
        <item x="63"/>
        <item x="508"/>
        <item x="404"/>
        <item x="54"/>
        <item x="264"/>
        <item x="170"/>
        <item x="320"/>
        <item x="272"/>
        <item x="260"/>
        <item x="210"/>
        <item x="247"/>
        <item x="574"/>
        <item x="504"/>
        <item x="316"/>
        <item x="21"/>
        <item x="328"/>
        <item x="392"/>
        <item x="501"/>
        <item x="154"/>
        <item x="166"/>
        <item x="128"/>
        <item x="570"/>
        <item x="684"/>
        <item x="361"/>
        <item x="659"/>
        <item x="187"/>
        <item x="631"/>
        <item x="91"/>
        <item x="567"/>
        <item x="112"/>
        <item x="587"/>
        <item x="222"/>
        <item x="673"/>
        <item x="546"/>
        <item x="132"/>
        <item x="242"/>
        <item x="448"/>
        <item x="376"/>
        <item x="477"/>
        <item x="521"/>
        <item x="313"/>
        <item x="436"/>
        <item x="218"/>
        <item x="651"/>
        <item x="440"/>
        <item x="389"/>
        <item x="325"/>
        <item x="285"/>
        <item x="42"/>
        <item x="206"/>
        <item x="353"/>
        <item x="372"/>
        <item x="595"/>
        <item x="99"/>
        <item x="62"/>
        <item x="384"/>
        <item x="125"/>
        <item x="301"/>
        <item x="269"/>
        <item x="227"/>
        <item x="347"/>
        <item x="50"/>
        <item x="303"/>
        <item x="529"/>
        <item x="493"/>
        <item x="552"/>
        <item x="67"/>
        <item x="9"/>
        <item x="199"/>
        <item x="83"/>
        <item x="309"/>
        <item x="647"/>
        <item x="397"/>
        <item x="671"/>
        <item x="541"/>
        <item x="122"/>
        <item x="513"/>
        <item x="236"/>
        <item x="619"/>
        <item x="639"/>
        <item x="453"/>
        <item x="46"/>
        <item x="556"/>
        <item x="563"/>
        <item x="141"/>
        <item x="24"/>
        <item x="79"/>
        <item x="557"/>
        <item x="203"/>
        <item x="115"/>
        <item x="599"/>
        <item x="118"/>
        <item x="417"/>
        <item x="87"/>
        <item x="341"/>
        <item x="345"/>
        <item x="335"/>
        <item x="607"/>
        <item x="533"/>
        <item x="104"/>
        <item x="497"/>
        <item x="289"/>
        <item x="542"/>
        <item x="18"/>
        <item x="485"/>
        <item x="433"/>
        <item x="623"/>
        <item x="163"/>
        <item x="357"/>
        <item x="643"/>
        <item x="151"/>
        <item x="1"/>
        <item x="215"/>
        <item x="185"/>
        <item x="277"/>
        <item x="369"/>
        <item x="517"/>
        <item x="655"/>
        <item x="231"/>
        <item x="147"/>
        <item x="175"/>
        <item x="179"/>
        <item x="579"/>
        <item x="461"/>
        <item x="139"/>
        <item x="423"/>
        <item x="509"/>
        <item x="635"/>
        <item x="537"/>
        <item x="479"/>
        <item x="401"/>
        <item x="429"/>
        <item x="465"/>
        <item x="246"/>
        <item x="13"/>
        <item x="665"/>
        <item x="365"/>
        <item x="381"/>
        <item x="273"/>
        <item x="489"/>
        <item x="279"/>
        <item x="28"/>
        <item x="575"/>
        <item x="629"/>
        <item x="661"/>
        <item x="591"/>
        <item x="133"/>
        <item x="265"/>
        <item x="411"/>
        <item x="525"/>
        <item x="583"/>
        <item x="609"/>
        <item x="183"/>
        <item x="678"/>
        <item x="421"/>
        <item x="657"/>
        <item x="625"/>
        <item x="473"/>
        <item x="261"/>
        <item x="359"/>
        <item x="235"/>
        <item x="333"/>
        <item x="603"/>
        <item x="225"/>
        <item x="329"/>
        <item x="321"/>
        <item x="191"/>
        <item x="475"/>
        <item x="505"/>
        <item x="387"/>
        <item x="317"/>
        <item x="395"/>
        <item x="291"/>
        <item x="571"/>
        <item x="445"/>
        <item x="167"/>
        <item x="469"/>
        <item x="409"/>
        <item x="255"/>
        <item x="669"/>
        <item x="441"/>
        <item x="649"/>
        <item x="240"/>
        <item x="323"/>
        <item x="283"/>
        <item x="251"/>
        <item x="295"/>
        <item x="211"/>
        <item x="415"/>
        <item x="223"/>
        <item x="682"/>
        <item x="449"/>
        <item x="56"/>
        <item x="159"/>
        <item x="457"/>
        <item x="219"/>
        <item x="393"/>
        <item x="377"/>
        <item x="405"/>
        <item x="155"/>
        <item x="437"/>
        <item x="171"/>
        <item x="351"/>
        <item x="307"/>
        <item x="491"/>
        <item x="36"/>
        <item x="32"/>
        <item x="645"/>
        <item x="385"/>
        <item x="161"/>
        <item x="207"/>
        <item x="339"/>
        <item x="565"/>
        <item x="73"/>
        <item x="311"/>
        <item x="201"/>
        <item x="363"/>
        <item x="495"/>
        <item x="197"/>
        <item x="399"/>
        <item x="459"/>
        <item x="177"/>
        <item x="373"/>
        <item x="149"/>
        <item x="451"/>
        <item x="69"/>
        <item x="637"/>
        <item x="367"/>
        <item x="519"/>
        <item x="527"/>
        <item x="267"/>
        <item x="145"/>
        <item x="653"/>
        <item x="531"/>
        <item x="561"/>
        <item x="499"/>
        <item x="173"/>
        <item x="427"/>
        <item x="431"/>
        <item x="593"/>
        <item x="379"/>
        <item x="229"/>
        <item x="483"/>
        <item x="550"/>
        <item x="585"/>
        <item x="52"/>
        <item x="213"/>
        <item x="633"/>
        <item x="641"/>
        <item x="597"/>
        <item x="60"/>
        <item x="106"/>
        <item x="110"/>
        <item x="93"/>
        <item x="463"/>
        <item x="511"/>
        <item x="343"/>
        <item x="617"/>
        <item x="181"/>
        <item x="48"/>
        <item x="554"/>
        <item x="355"/>
        <item x="89"/>
        <item x="299"/>
        <item x="419"/>
        <item x="97"/>
        <item x="189"/>
        <item x="287"/>
        <item x="244"/>
        <item x="40"/>
        <item x="44"/>
        <item x="539"/>
        <item x="621"/>
        <item x="487"/>
        <item x="130"/>
        <item x="605"/>
        <item x="126"/>
        <item x="81"/>
        <item x="577"/>
        <item x="471"/>
        <item x="407"/>
        <item x="65"/>
        <item x="535"/>
        <item x="507"/>
        <item x="443"/>
        <item x="123"/>
        <item x="275"/>
        <item x="573"/>
        <item x="589"/>
        <item x="233"/>
        <item x="403"/>
        <item x="601"/>
        <item x="85"/>
        <item x="375"/>
        <item x="439"/>
        <item x="467"/>
        <item x="165"/>
        <item x="77"/>
        <item x="327"/>
        <item x="523"/>
        <item x="153"/>
        <item x="116"/>
        <item x="569"/>
        <item x="169"/>
        <item x="259"/>
        <item x="503"/>
        <item x="271"/>
        <item x="102"/>
        <item x="435"/>
        <item x="391"/>
        <item x="263"/>
        <item x="515"/>
        <item x="331"/>
        <item x="319"/>
        <item x="371"/>
        <item x="315"/>
        <item x="217"/>
        <item x="581"/>
        <item x="157"/>
        <item x="447"/>
        <item x="205"/>
        <item x="221"/>
        <item x="137"/>
        <item x="455"/>
        <item x="209"/>
        <item x="120"/>
        <item x="383"/>
        <item x="113"/>
        <item t="default"/>
      </items>
    </pivotField>
    <pivotField axis="axisCol" showAll="0">
      <items count="5">
        <item x="1"/>
        <item x="2"/>
        <item h="1" x="3"/>
        <item h="1" x="0"/>
        <item t="default"/>
      </items>
    </pivotField>
    <pivotField showAll="0"/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Fields count="2">
    <field x="10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Sum of CategorySales" fld="9" baseField="0" baseItem="0"/>
    <dataField name="Sum of CategorySales2" fld="9" showDataAs="percentOfCol" baseField="6" baseItem="0" numFmtId="10"/>
  </dataFields>
  <formats count="3">
    <format dxfId="27">
      <pivotArea outline="0" collapsedLevelsAreSubtotals="1" fieldPosition="0">
        <references count="1">
          <reference field="10" count="1" selected="0">
            <x v="1"/>
          </reference>
        </references>
      </pivotArea>
    </format>
    <format dxfId="26">
      <pivotArea grandCol="1" outline="0" collapsedLevelsAreSubtotals="1" fieldPosition="0"/>
    </format>
    <format dxfId="25">
      <pivotArea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9A5005-775B-49B4-94A7-22905362B1A7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F7" firstHeaderRow="1" firstDataRow="2" firstDataCol="1"/>
  <pivotFields count="13">
    <pivotField showAll="0"/>
    <pivotField showAll="0"/>
    <pivotField showAll="0"/>
    <pivotField showAll="0"/>
    <pivotField showAll="0"/>
    <pivotField showAll="0"/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dataField="1" showAll="0"/>
    <pivotField axis="axisRow" showAll="0">
      <items count="5">
        <item x="1"/>
        <item x="2"/>
        <item h="1" x="3"/>
        <item h="1" x="0"/>
        <item t="default"/>
      </items>
    </pivotField>
    <pivotField showAll="0"/>
    <pivotField showAll="0"/>
  </pivotFields>
  <rowFields count="1">
    <field x="10"/>
  </rowFields>
  <rowItems count="3">
    <i>
      <x/>
    </i>
    <i>
      <x v="1"/>
    </i>
    <i t="grand">
      <x/>
    </i>
  </rowItems>
  <colFields count="1">
    <field x="6"/>
  </colFields>
  <colItems count="5">
    <i>
      <x/>
    </i>
    <i>
      <x v="1"/>
    </i>
    <i>
      <x v="2"/>
    </i>
    <i>
      <x v="3"/>
    </i>
    <i t="grand">
      <x/>
    </i>
  </colItems>
  <dataFields count="1">
    <dataField name="Sum of CategorySales" fld="9" showDataAs="percentOfCol" baseField="6" baseItem="0" numFmtId="10"/>
  </dataFields>
  <chartFormats count="48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5" format="9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5" format="1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5" format="1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5" format="12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10" count="1" selected="0">
            <x v="1"/>
          </reference>
        </references>
      </pivotArea>
    </chartFormat>
    <chartFormat chart="5" format="13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10" count="1" selected="0">
            <x v="1"/>
          </reference>
        </references>
      </pivotArea>
    </chartFormat>
    <chartFormat chart="5" format="14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2"/>
          </reference>
          <reference field="10" count="1" selected="0">
            <x v="1"/>
          </reference>
        </references>
      </pivotArea>
    </chartFormat>
    <chartFormat chart="5" format="15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3"/>
          </reference>
          <reference field="10" count="1" selected="0">
            <x v="1"/>
          </reference>
        </references>
      </pivotArea>
    </chartFormat>
    <chartFormat chart="5" format="16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10" count="1" selected="0">
            <x v="2"/>
          </reference>
        </references>
      </pivotArea>
    </chartFormat>
    <chartFormat chart="5" format="17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10" count="1" selected="0">
            <x v="2"/>
          </reference>
        </references>
      </pivotArea>
    </chartFormat>
    <chartFormat chart="5" format="18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2"/>
          </reference>
          <reference field="10" count="1" selected="0">
            <x v="2"/>
          </reference>
        </references>
      </pivotArea>
    </chartFormat>
    <chartFormat chart="5" format="19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3"/>
          </reference>
          <reference field="10" count="1" selected="0">
            <x v="2"/>
          </reference>
        </references>
      </pivotArea>
    </chartFormat>
    <chartFormat chart="5" format="20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10" count="1" selected="0">
            <x v="3"/>
          </reference>
        </references>
      </pivotArea>
    </chartFormat>
    <chartFormat chart="5" format="21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10" count="1" selected="0">
            <x v="3"/>
          </reference>
        </references>
      </pivotArea>
    </chartFormat>
    <chartFormat chart="5" format="22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2"/>
          </reference>
          <reference field="10" count="1" selected="0">
            <x v="3"/>
          </reference>
        </references>
      </pivotArea>
    </chartFormat>
    <chartFormat chart="5" format="23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3"/>
          </reference>
          <reference field="10" count="1" selected="0">
            <x v="3"/>
          </reference>
        </references>
      </pivotArea>
    </chartFormat>
    <chartFormat chart="2" format="4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10" count="1" selected="0">
            <x v="1"/>
          </reference>
        </references>
      </pivotArea>
    </chartFormat>
    <chartFormat chart="2" format="5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10" count="1" selected="0">
            <x v="1"/>
          </reference>
        </references>
      </pivotArea>
    </chartFormat>
    <chartFormat chart="2" format="6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2"/>
          </reference>
          <reference field="10" count="1" selected="0">
            <x v="1"/>
          </reference>
        </references>
      </pivotArea>
    </chartFormat>
    <chartFormat chart="2" format="7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3"/>
          </reference>
          <reference field="10" count="1" selected="0">
            <x v="1"/>
          </reference>
        </references>
      </pivotArea>
    </chartFormat>
    <chartFormat chart="2" format="8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10" count="1" selected="0">
            <x v="2"/>
          </reference>
        </references>
      </pivotArea>
    </chartFormat>
    <chartFormat chart="2" format="9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10" count="1" selected="0">
            <x v="2"/>
          </reference>
        </references>
      </pivotArea>
    </chartFormat>
    <chartFormat chart="2" format="10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2"/>
          </reference>
          <reference field="10" count="1" selected="0">
            <x v="2"/>
          </reference>
        </references>
      </pivotArea>
    </chartFormat>
    <chartFormat chart="2" format="11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3"/>
          </reference>
          <reference field="10" count="1" selected="0">
            <x v="2"/>
          </reference>
        </references>
      </pivotArea>
    </chartFormat>
    <chartFormat chart="2" format="12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10" count="1" selected="0">
            <x v="3"/>
          </reference>
        </references>
      </pivotArea>
    </chartFormat>
    <chartFormat chart="2" format="13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10" count="1" selected="0">
            <x v="3"/>
          </reference>
        </references>
      </pivotArea>
    </chartFormat>
    <chartFormat chart="2" format="14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2"/>
          </reference>
          <reference field="10" count="1" selected="0">
            <x v="3"/>
          </reference>
        </references>
      </pivotArea>
    </chartFormat>
    <chartFormat chart="2" format="15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3"/>
          </reference>
          <reference field="10" count="1" selected="0">
            <x v="3"/>
          </reference>
        </references>
      </pivotArea>
    </chartFormat>
    <chartFormat chart="5" format="2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5" format="2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5" format="2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5" format="2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2" format="1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1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1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" format="1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8" format="2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8" format="2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8" format="2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8" format="2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9" format="2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9" format="2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9" format="2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9" format="2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3F8820-7AC0-45CE-9FEC-5DB4D3EF3DE0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9">
  <location ref="A3:B21" firstHeaderRow="1" firstDataRow="1" firstDataCol="1"/>
  <pivotFields count="11">
    <pivotField showAll="0"/>
    <pivotField axis="axisRow" showAll="0" sortType="ascending">
      <items count="18">
        <item x="15"/>
        <item x="12"/>
        <item x="8"/>
        <item x="0"/>
        <item x="1"/>
        <item x="4"/>
        <item x="6"/>
        <item x="11"/>
        <item x="2"/>
        <item x="13"/>
        <item x="9"/>
        <item x="5"/>
        <item x="3"/>
        <item x="14"/>
        <item x="16"/>
        <item x="10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showAll="0"/>
    <pivotField numFmtId="10" showAll="0"/>
    <pivotField numFmtId="10" showAll="0"/>
  </pivotFields>
  <rowFields count="1">
    <field x="1"/>
  </rowFields>
  <rowItems count="18">
    <i>
      <x v="3"/>
    </i>
    <i>
      <x v="4"/>
    </i>
    <i>
      <x v="8"/>
    </i>
    <i>
      <x v="12"/>
    </i>
    <i>
      <x v="5"/>
    </i>
    <i>
      <x v="11"/>
    </i>
    <i>
      <x v="6"/>
    </i>
    <i>
      <x v="16"/>
    </i>
    <i>
      <x v="2"/>
    </i>
    <i>
      <x v="10"/>
    </i>
    <i>
      <x v="15"/>
    </i>
    <i>
      <x v="7"/>
    </i>
    <i>
      <x v="1"/>
    </i>
    <i>
      <x v="9"/>
    </i>
    <i>
      <x v="13"/>
    </i>
    <i>
      <x/>
    </i>
    <i>
      <x v="14"/>
    </i>
    <i t="grand">
      <x/>
    </i>
  </rowItems>
  <colItems count="1">
    <i/>
  </colItems>
  <dataFields count="1">
    <dataField name="Sum of NetVariance" fld="8" baseField="0" baseItem="0"/>
  </dataFields>
  <chartFormats count="2">
    <chartFormat chart="2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7659BC-CA14-4717-A41C-4715F0C2249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3">
  <location ref="A3:D15" firstHeaderRow="0" firstDataRow="1" firstDataCol="2" rowPageCount="1" colPageCount="1"/>
  <pivotFields count="15"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4">
        <item x="0"/>
        <item x="1"/>
        <item x="2"/>
        <item x="3"/>
      </items>
    </pivotField>
    <pivotField axis="axisRow" compact="0" outline="0" showAll="0" defaultSubtotal="0">
      <items count="4">
        <item x="3"/>
        <item x="0"/>
        <item x="1"/>
        <item x="2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>
      <items count="155">
        <item x="138"/>
        <item x="18"/>
        <item x="52"/>
        <item x="151"/>
        <item x="8"/>
        <item x="64"/>
        <item x="122"/>
        <item x="89"/>
        <item x="50"/>
        <item x="135"/>
        <item x="28"/>
        <item x="39"/>
        <item x="75"/>
        <item x="78"/>
        <item x="121"/>
        <item x="105"/>
        <item x="37"/>
        <item x="65"/>
        <item x="61"/>
        <item x="6"/>
        <item x="92"/>
        <item x="150"/>
        <item x="72"/>
        <item x="47"/>
        <item x="73"/>
        <item x="86"/>
        <item x="0"/>
        <item x="125"/>
        <item x="66"/>
        <item x="1"/>
        <item x="83"/>
        <item x="104"/>
        <item x="26"/>
        <item x="21"/>
        <item x="30"/>
        <item x="20"/>
        <item x="76"/>
        <item x="79"/>
        <item x="69"/>
        <item x="35"/>
        <item x="90"/>
        <item x="101"/>
        <item x="62"/>
        <item x="108"/>
        <item x="53"/>
        <item x="31"/>
        <item x="132"/>
        <item x="10"/>
        <item x="11"/>
        <item x="133"/>
        <item x="5"/>
        <item x="109"/>
        <item x="123"/>
        <item x="115"/>
        <item x="140"/>
        <item x="130"/>
        <item x="139"/>
        <item x="87"/>
        <item x="59"/>
        <item x="80"/>
        <item x="145"/>
        <item x="117"/>
        <item x="56"/>
        <item x="110"/>
        <item x="136"/>
        <item x="7"/>
        <item x="16"/>
        <item x="74"/>
        <item x="27"/>
        <item x="99"/>
        <item x="40"/>
        <item x="36"/>
        <item x="44"/>
        <item x="152"/>
        <item x="25"/>
        <item x="94"/>
        <item x="106"/>
        <item x="3"/>
        <item x="137"/>
        <item x="41"/>
        <item x="17"/>
        <item x="34"/>
        <item x="88"/>
        <item x="15"/>
        <item x="2"/>
        <item x="118"/>
        <item x="128"/>
        <item x="77"/>
        <item x="91"/>
        <item x="23"/>
        <item x="48"/>
        <item x="134"/>
        <item x="147"/>
        <item x="93"/>
        <item x="4"/>
        <item x="33"/>
        <item x="63"/>
        <item x="24"/>
        <item x="9"/>
        <item x="124"/>
        <item x="120"/>
        <item x="153"/>
        <item x="113"/>
        <item x="127"/>
        <item x="149"/>
        <item x="102"/>
        <item x="71"/>
        <item x="51"/>
        <item x="13"/>
        <item x="29"/>
        <item x="14"/>
        <item x="38"/>
        <item x="60"/>
        <item x="143"/>
        <item x="68"/>
        <item x="22"/>
        <item x="131"/>
        <item x="70"/>
        <item x="146"/>
        <item x="12"/>
        <item x="126"/>
        <item x="129"/>
        <item x="148"/>
        <item x="19"/>
        <item x="103"/>
        <item x="67"/>
        <item x="142"/>
        <item x="107"/>
        <item x="32"/>
        <item x="112"/>
        <item x="57"/>
        <item x="84"/>
        <item x="49"/>
        <item x="97"/>
        <item x="119"/>
        <item x="144"/>
        <item x="96"/>
        <item x="85"/>
        <item x="116"/>
        <item x="54"/>
        <item x="114"/>
        <item x="81"/>
        <item x="58"/>
        <item x="141"/>
        <item x="55"/>
        <item x="45"/>
        <item x="82"/>
        <item x="111"/>
        <item x="46"/>
        <item x="95"/>
        <item x="98"/>
        <item x="100"/>
        <item x="43"/>
        <item x="42"/>
        <item x="154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Page" compact="0" outline="0" showAll="0" defaultSubtotal="0">
      <items count="2">
        <item x="0"/>
        <item x="1"/>
      </items>
    </pivotField>
    <pivotField compact="0" outline="0" showAll="0" defaultSubtotal="0"/>
  </pivotFields>
  <rowFields count="2">
    <field x="3"/>
    <field x="4"/>
  </rowFields>
  <rowItems count="12">
    <i>
      <x/>
      <x v="2"/>
    </i>
    <i r="1">
      <x v="3"/>
    </i>
    <i>
      <x v="1"/>
      <x/>
    </i>
    <i r="1">
      <x v="1"/>
    </i>
    <i r="1">
      <x v="2"/>
    </i>
    <i r="1">
      <x v="3"/>
    </i>
    <i>
      <x v="2"/>
      <x/>
    </i>
    <i r="1">
      <x v="1"/>
    </i>
    <i r="1">
      <x v="2"/>
    </i>
    <i r="1">
      <x v="3"/>
    </i>
    <i>
      <x v="3"/>
      <x/>
    </i>
    <i t="grand">
      <x/>
    </i>
  </rowItems>
  <colFields count="1">
    <field x="-2"/>
  </colFields>
  <colItems count="2">
    <i>
      <x/>
    </i>
    <i i="1">
      <x v="1"/>
    </i>
  </colItems>
  <pageFields count="1">
    <pageField fld="13" item="1" hier="-1"/>
  </pageFields>
  <dataFields count="2">
    <dataField name="Sum of ActualSales" fld="6" baseField="0" baseItem="0" numFmtId="164"/>
    <dataField name="Sum of SalesQuota" fld="7" baseField="0" baseItem="0" numFmtId="164"/>
  </dataFields>
  <formats count="2">
    <format dxfId="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A8ADA597-A4BA-418B-95A3-CDF9DC3CEECA}" autoFormatId="16" applyNumberFormats="0" applyBorderFormats="0" applyFontFormats="0" applyPatternFormats="0" applyAlignmentFormats="0" applyWidthHeightFormats="0">
  <queryTableRefresh nextId="12">
    <queryTableFields count="11">
      <queryTableField id="1" name="SalesPersonID" tableColumnId="1"/>
      <queryTableField id="2" name="SalespersonName" tableColumnId="2"/>
      <queryTableField id="3" name="AssignedTerritory" tableColumnId="3"/>
      <queryTableField id="4" name="ComparableQuarters" tableColumnId="4"/>
      <queryTableField id="5" name="BelowQuotaQuarters" tableColumnId="5"/>
      <queryTableField id="6" name="MetOrExceededQuarters" tableColumnId="6"/>
      <queryTableField id="7" name="BelowQuotaRatePct" tableColumnId="7"/>
      <queryTableField id="8" name="TotalActualSales" tableColumnId="8"/>
      <queryTableField id="9" name="TotalQuota" tableColumnId="9"/>
      <queryTableField id="10" name="NetVariance" tableColumnId="10"/>
      <queryTableField id="11" name="WeightedAttainmentPct" tableColumnId="1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C953F9D2-ED66-466C-8BCF-EE7A7B9FE193}" autoFormatId="16" applyNumberFormats="0" applyBorderFormats="0" applyFontFormats="0" applyPatternFormats="0" applyAlignmentFormats="0" applyWidthHeightFormats="0">
  <queryTableRefresh nextId="14" unboundColumnsRight="2">
    <queryTableFields count="13">
      <queryTableField id="1" name="SalesPersonID" tableColumnId="1"/>
      <queryTableField id="2" name="SalespersonName" tableColumnId="2"/>
      <queryTableField id="3" name="AssignedTerritory" tableColumnId="3"/>
      <queryTableField id="4" name="SalesYear" tableColumnId="4"/>
      <queryTableField id="5" name="SalesQuarter" tableColumnId="5"/>
      <queryTableField id="6" name="ProductCategoryID" tableColumnId="6"/>
      <queryTableField id="7" name="CategoryName" tableColumnId="7"/>
      <queryTableField id="8" name="OrdersContainingCategory" tableColumnId="8"/>
      <queryTableField id="9" name="UnitsSold" tableColumnId="9"/>
      <queryTableField id="10" name="CategorySales" tableColumnId="10"/>
      <queryTableField id="11" name="PerformanceBucket" tableColumnId="11"/>
      <queryTableField id="12" dataBound="0" tableColumnId="12"/>
      <queryTableField id="13" dataBound="0" tableColumnId="1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C85450FF-F64B-4880-A02D-620D1AFE7B76}" autoFormatId="16" applyNumberFormats="0" applyBorderFormats="0" applyFontFormats="0" applyPatternFormats="0" applyAlignmentFormats="0" applyWidthHeightFormats="0">
  <queryTableRefresh nextId="16">
    <queryTableFields count="15">
      <queryTableField id="1" name="SalesPersonID" tableColumnId="1"/>
      <queryTableField id="2" name="SalespersonName" tableColumnId="2"/>
      <queryTableField id="3" name="AssignedTerritory" tableColumnId="3"/>
      <queryTableField id="4" name="SalesYear" tableColumnId="4"/>
      <queryTableField id="5" name="SalesQuarter" tableColumnId="5"/>
      <queryTableField id="6" name="QuotaDate" tableColumnId="6"/>
      <queryTableField id="7" name="ActualSales" tableColumnId="7"/>
      <queryTableField id="8" name="SalesQuota" tableColumnId="8"/>
      <queryTableField id="9" name="PreviousQuota" tableColumnId="9"/>
      <queryTableField id="10" name="QuotaVariance" tableColumnId="10"/>
      <queryTableField id="11" name="AttainmentPct" tableColumnId="11"/>
      <queryTableField id="12" name="OrderCount" tableColumnId="12"/>
      <queryTableField id="13" name="PeriodStatus" tableColumnId="13"/>
      <queryTableField id="14" name="IsComparablePeriod" tableColumnId="14"/>
      <queryTableField id="15" name="QuotaQualityFlag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D2E612B-E7CE-4D3E-B7A0-077B30B31774}" name="tblSalespersonSummary" displayName="tblSalespersonSummary" ref="A1:K18" tableType="queryTable" totalsRowShown="0">
  <autoFilter ref="A1:K18" xr:uid="{AD2E612B-E7CE-4D3E-B7A0-077B30B31774}"/>
  <tableColumns count="11">
    <tableColumn id="1" xr3:uid="{4AB70758-894B-4CA1-84E5-B9EF9B992485}" uniqueName="1" name="SalesPersonID" queryTableFieldId="1"/>
    <tableColumn id="2" xr3:uid="{1EA707E4-E793-409E-9BE8-5E9E8F73FD19}" uniqueName="2" name="SalespersonName" queryTableFieldId="2" dataDxfId="29"/>
    <tableColumn id="3" xr3:uid="{3C8EBF6C-303F-414C-BC73-B8FB9B2E9A98}" uniqueName="3" name="AssignedTerritory" queryTableFieldId="3" dataDxfId="28"/>
    <tableColumn id="4" xr3:uid="{207A3BC2-CF45-4FBD-B6D2-BDE9C5C89CA2}" uniqueName="4" name="ComparableQuarters" queryTableFieldId="4"/>
    <tableColumn id="5" xr3:uid="{69EF0C25-6EDA-43CC-8199-6BF5606BBB1D}" uniqueName="5" name="BelowQuotaQuarters" queryTableFieldId="5"/>
    <tableColumn id="6" xr3:uid="{3A3001C2-53C5-48DA-8A6F-9FC5DE7E6E43}" uniqueName="6" name="MetOrExceededQuarters" queryTableFieldId="6"/>
    <tableColumn id="7" xr3:uid="{866CE63B-7CC1-42CE-8A54-DCC1CAD226FD}" uniqueName="7" name="BelowQuotaRatePct" queryTableFieldId="7"/>
    <tableColumn id="8" xr3:uid="{66AF334F-C27A-4217-A171-3E7602B37536}" uniqueName="8" name="TotalActualSales" queryTableFieldId="8"/>
    <tableColumn id="9" xr3:uid="{1316D1CA-24C8-4101-9942-2AFFA05B6317}" uniqueName="9" name="TotalQuota" queryTableFieldId="9"/>
    <tableColumn id="10" xr3:uid="{6030B603-D10A-4112-AB2B-D0F6A82767DE}" uniqueName="10" name="NetVariance" queryTableFieldId="10"/>
    <tableColumn id="11" xr3:uid="{3F0EEE92-F162-4B3E-940D-64B58A95086B}" uniqueName="11" name="WeightedAttainmentPct" queryTableFieldId="1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F6FF97C-687D-4757-BB14-7929D61F9B8F}" name="tblCategorySales" displayName="tblCategorySales" ref="A1:M694" tableType="queryTable" totalsRowShown="0">
  <autoFilter ref="A1:M694" xr:uid="{3F6FF97C-687D-4757-BB14-7929D61F9B8F}"/>
  <tableColumns count="13">
    <tableColumn id="1" xr3:uid="{84A46185-1C04-4023-A883-94828B88C16F}" uniqueName="1" name="SalesPersonID" queryTableFieldId="1"/>
    <tableColumn id="2" xr3:uid="{AE74D629-3880-4692-8135-7B65015D7587}" uniqueName="2" name="SalespersonName" queryTableFieldId="2" dataDxfId="24"/>
    <tableColumn id="3" xr3:uid="{5A1694D8-7EA7-46CE-80B5-9359C5062CCD}" uniqueName="3" name="AssignedTerritory" queryTableFieldId="3" dataDxfId="23"/>
    <tableColumn id="4" xr3:uid="{5B30078C-3C73-4088-BBD0-94A1EACF0078}" uniqueName="4" name="SalesYear" queryTableFieldId="4"/>
    <tableColumn id="5" xr3:uid="{1CA208EA-4C7F-49BD-862C-67FF40FC9A1B}" uniqueName="5" name="SalesQuarter" queryTableFieldId="5"/>
    <tableColumn id="6" xr3:uid="{A0E18029-C668-4EAA-8231-6C5EDCE5F639}" uniqueName="6" name="ProductCategoryID" queryTableFieldId="6"/>
    <tableColumn id="7" xr3:uid="{C4561C05-27F1-4A4B-9061-3BB6EBBEA704}" uniqueName="7" name="CategoryName" queryTableFieldId="7" dataDxfId="22"/>
    <tableColumn id="8" xr3:uid="{C47585F3-F1C5-47B3-91C4-C9BBBB33F491}" uniqueName="8" name="OrdersContainingCategory" queryTableFieldId="8"/>
    <tableColumn id="9" xr3:uid="{0A077BDA-20E9-45C0-A5FA-7B047326E72F}" uniqueName="9" name="UnitsSold" queryTableFieldId="9"/>
    <tableColumn id="10" xr3:uid="{A5D86637-CD24-4174-8E1E-20A1F498F253}" uniqueName="10" name="CategorySales" queryTableFieldId="10"/>
    <tableColumn id="11" xr3:uid="{C1831DF0-B833-47AD-AA7E-FC2910201159}" uniqueName="11" name="PerformanceBucket" queryTableFieldId="11" dataDxfId="21"/>
    <tableColumn id="12" xr3:uid="{A4C6B44B-7147-4410-A036-1376A4130AD4}" uniqueName="12" name="ExpectedSalespersonName" queryTableFieldId="12" dataDxfId="20">
      <calculatedColumnFormula>_xlfn.XLOOKUP(tblCategorySales[[#This Row],[SalesPersonID]],tblSalespersonSummary[SalesPersonID],tblSalespersonSummary[SalespersonName],"Not found")</calculatedColumnFormula>
    </tableColumn>
    <tableColumn id="13" xr3:uid="{423D3619-0017-4F49-A23F-D72360EE2D79}" uniqueName="13" name="NameCheck" queryTableFieldId="13" dataDxfId="19">
      <calculatedColumnFormula>IF(tblCategorySales[[#This Row],[SalespersonName]]=tblCategorySales[[#This Row],[ExpectedSalespersonName]],"Match","Mismatch")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AB06AB-A02A-48C2-A41A-663E29C53C7F}" name="tblQuarterlyPerformance" displayName="tblQuarterlyPerformance" ref="A1:O180" tableType="queryTable" totalsRowShown="0">
  <autoFilter ref="A1:O180" xr:uid="{A9AB06AB-A02A-48C2-A41A-663E29C53C7F}"/>
  <tableColumns count="15">
    <tableColumn id="1" xr3:uid="{4AF714EE-E7AC-4CE8-BA6A-9A4C94CDD1FE}" uniqueName="1" name="SalesPersonID" queryTableFieldId="1"/>
    <tableColumn id="2" xr3:uid="{899A1C8A-53A0-48AE-A261-083AC317D0A9}" uniqueName="2" name="SalespersonName" queryTableFieldId="2" dataDxfId="18"/>
    <tableColumn id="3" xr3:uid="{94F9F93C-E898-43C2-98D7-7BA171E34055}" uniqueName="3" name="AssignedTerritory" queryTableFieldId="3" dataDxfId="17"/>
    <tableColumn id="4" xr3:uid="{EA23411F-D3EB-416D-B878-BDDAAEC0CB28}" uniqueName="4" name="SalesYear" queryTableFieldId="4"/>
    <tableColumn id="5" xr3:uid="{C3F71EF2-D9E1-460D-BD22-E86B02CA2AAD}" uniqueName="5" name="SalesQuarter" queryTableFieldId="5"/>
    <tableColumn id="6" xr3:uid="{022D7C36-2C90-47AA-B652-DE5410757B27}" uniqueName="6" name="QuotaDate" queryTableFieldId="6" dataDxfId="16"/>
    <tableColumn id="7" xr3:uid="{EFEB6373-3096-454A-BC9A-8C941CA40546}" uniqueName="7" name="ActualSales" queryTableFieldId="7"/>
    <tableColumn id="8" xr3:uid="{353E6C74-1D5A-4A54-97DD-F1929332BB3A}" uniqueName="8" name="SalesQuota" queryTableFieldId="8" dataDxfId="15"/>
    <tableColumn id="9" xr3:uid="{FE5A071E-464B-4ED3-AFA1-AD60AE998EB6}" uniqueName="9" name="PreviousQuota" queryTableFieldId="9" dataDxfId="14"/>
    <tableColumn id="10" xr3:uid="{8127ECD0-9577-49A4-98A5-0F8A4632644F}" uniqueName="10" name="QuotaVariance" queryTableFieldId="10" dataDxfId="13"/>
    <tableColumn id="11" xr3:uid="{7A01F5D5-CA61-4694-A5A2-77B1BE420B05}" uniqueName="11" name="AttainmentPct" queryTableFieldId="11" dataDxfId="12"/>
    <tableColumn id="12" xr3:uid="{777F5B2C-C10D-463F-9741-3558630DC43F}" uniqueName="12" name="OrderCount" queryTableFieldId="12"/>
    <tableColumn id="13" xr3:uid="{2DBB3D2D-8EDD-4863-ADC1-6C8649072D3E}" uniqueName="13" name="PeriodStatus" queryTableFieldId="13" dataDxfId="11"/>
    <tableColumn id="14" xr3:uid="{9D2EB242-351F-4972-8EF6-263FBF5036AB}" uniqueName="14" name="IsComparablePeriod" queryTableFieldId="14"/>
    <tableColumn id="15" xr3:uid="{B34AC5B4-D5AB-4394-965F-27B4ED7700E4}" uniqueName="15" name="QuotaQualityFlag" queryTableFieldId="15" dataDxfId="1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0E865A9-2FC8-4DDB-A134-A8F33B52E46D}" name="tblExcelAnalysis" displayName="tblExcelAnalysis" ref="A1:K18" totalsRowShown="0">
  <autoFilter ref="A1:K18" xr:uid="{30E865A9-2FC8-4DDB-A134-A8F33B52E46D}"/>
  <tableColumns count="11">
    <tableColumn id="1" xr3:uid="{04232FF3-72BD-4AC2-BC95-A828EDFD8BC0}" name="SalesPersonID"/>
    <tableColumn id="2" xr3:uid="{472108DC-0720-4073-8A0D-030FFFE0B3C6}" name="SalespersonName"/>
    <tableColumn id="3" xr3:uid="{65857373-1624-420D-91D0-DE053627F3D9}" name="AssignedTerritory"/>
    <tableColumn id="4" xr3:uid="{58024AE8-2723-4480-8484-F6FE87050C09}" name="RecalculatedActualSales" dataDxfId="9">
      <calculatedColumnFormula>SUMIFS(tblQuarterlyPerformance[ActualSales],tblQuarterlyPerformance[SalesPersonID],tblExcelAnalysis[[#This Row],[SalesPersonID]],tblQuarterlyPerformance[IsComparablePeriod],1)</calculatedColumnFormula>
    </tableColumn>
    <tableColumn id="5" xr3:uid="{8A6B48EB-9012-429C-AACA-2EDEB6EF8B61}" name="RecalculatedQuota" dataDxfId="8">
      <calculatedColumnFormula>SUMIFS(tblQuarterlyPerformance[SalesQuota],tblQuarterlyPerformance[SalesPersonID],tblExcelAnalysis[[#This Row],[SalesPersonID]],tblQuarterlyPerformance[IsComparablePeriod],1)</calculatedColumnFormula>
    </tableColumn>
    <tableColumn id="6" xr3:uid="{8FAFBC65-2BD0-41A3-80C3-CAC13F002B3F}" name="ComparableQuarters" dataDxfId="7">
      <calculatedColumnFormula>COUNTIFS(tblQuarterlyPerformance[SalesPersonID],tblExcelAnalysis[[#This Row],[SalesPersonID]],tblQuarterlyPerformance[IsComparablePeriod],1)</calculatedColumnFormula>
    </tableColumn>
    <tableColumn id="7" xr3:uid="{BBF6FCA2-D0CB-409F-94B7-3D3A1F760663}" name="BelowQuotaQuarters" dataDxfId="6">
      <calculatedColumnFormula>COUNTIFS(tblQuarterlyPerformance[SalesPersonID],tblExcelAnalysis[[#This Row],[SalesPersonID]],tblQuarterlyPerformance[IsComparablePeriod],1,tblQuarterlyPerformance[AttainmentPct],"&lt;100")</calculatedColumnFormula>
    </tableColumn>
    <tableColumn id="8" xr3:uid="{11F3031D-D9A3-488E-BF6B-403C814D66C2}" name="MetOrExceededQuarters" dataDxfId="5">
      <calculatedColumnFormula>COUNTIFS(tblQuarterlyPerformance[SalesPersonID],tblExcelAnalysis[[#This Row],[SalesPersonID]],tblQuarterlyPerformance[IsComparablePeriod],1,tblQuarterlyPerformance[AttainmentPct],"&gt;=100")</calculatedColumnFormula>
    </tableColumn>
    <tableColumn id="9" xr3:uid="{90678622-0B9E-4531-A312-5810A2AD5551}" name="NetVariance" dataDxfId="4">
      <calculatedColumnFormula>tblExcelAnalysis[[#This Row],[RecalculatedActualSales]]-tblExcelAnalysis[[#This Row],[RecalculatedQuota]]</calculatedColumnFormula>
    </tableColumn>
    <tableColumn id="10" xr3:uid="{32510F83-4024-4EBC-B45A-733EEB4E63CA}" name="BelowQuotaRatePct" dataDxfId="3" dataCellStyle="Percent">
      <calculatedColumnFormula>IFERROR(tblExcelAnalysis[[#This Row],[BelowQuotaQuarters]]/tblExcelAnalysis[[#This Row],[ComparableQuarters]],0)</calculatedColumnFormula>
    </tableColumn>
    <tableColumn id="11" xr3:uid="{E1BFFE83-5560-44E8-BC20-05FB0D5BA181}" name="WeightedAttainmentPct" dataDxfId="2" dataCellStyle="Percent">
      <calculatedColumnFormula>IFERROR(tblExcelAnalysis[[#This Row],[RecalculatedActualSales]]/tblExcelAnalysis[[#This Row],[RecalculatedQuota]],0)</calculatedColumnFormula>
    </tableColumn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6898A-FF26-43E9-B607-3B63A5DC7DE6}">
  <dimension ref="A1:K18"/>
  <sheetViews>
    <sheetView workbookViewId="0">
      <selection activeCell="C1" sqref="C1:C1048576"/>
    </sheetView>
  </sheetViews>
  <sheetFormatPr defaultRowHeight="14.4" x14ac:dyDescent="0.3"/>
  <cols>
    <col min="1" max="1" width="15" bestFit="1" customWidth="1"/>
    <col min="2" max="2" width="20.88671875" bestFit="1" customWidth="1"/>
    <col min="3" max="3" width="18" bestFit="1" customWidth="1"/>
    <col min="4" max="4" width="20.88671875" bestFit="1" customWidth="1"/>
    <col min="5" max="5" width="21" bestFit="1" customWidth="1"/>
    <col min="6" max="6" width="24.21875" bestFit="1" customWidth="1"/>
    <col min="7" max="7" width="20.21875" bestFit="1" customWidth="1"/>
    <col min="8" max="8" width="17.109375" bestFit="1" customWidth="1"/>
    <col min="9" max="9" width="12.6640625" bestFit="1" customWidth="1"/>
    <col min="10" max="10" width="13.5546875" bestFit="1" customWidth="1"/>
    <col min="11" max="11" width="23.88671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  <c r="I1" t="s">
        <v>81</v>
      </c>
      <c r="J1" t="s">
        <v>82</v>
      </c>
      <c r="K1" t="s">
        <v>83</v>
      </c>
    </row>
    <row r="2" spans="1:11" x14ac:dyDescent="0.3">
      <c r="A2">
        <v>289</v>
      </c>
      <c r="B2" t="s">
        <v>44</v>
      </c>
      <c r="C2" t="s">
        <v>45</v>
      </c>
      <c r="D2">
        <v>8</v>
      </c>
      <c r="E2">
        <v>7</v>
      </c>
      <c r="F2">
        <v>1</v>
      </c>
      <c r="G2">
        <v>87.5</v>
      </c>
      <c r="H2">
        <v>8063554.5928349998</v>
      </c>
      <c r="I2">
        <v>10514000</v>
      </c>
      <c r="J2">
        <v>-2450445.4071650002</v>
      </c>
      <c r="K2">
        <v>76.69</v>
      </c>
    </row>
    <row r="3" spans="1:11" x14ac:dyDescent="0.3">
      <c r="A3">
        <v>277</v>
      </c>
      <c r="B3" t="s">
        <v>23</v>
      </c>
      <c r="C3" t="s">
        <v>24</v>
      </c>
      <c r="D3">
        <v>11</v>
      </c>
      <c r="E3">
        <v>9</v>
      </c>
      <c r="F3">
        <v>2</v>
      </c>
      <c r="G3">
        <v>81.819999999999993</v>
      </c>
      <c r="H3">
        <v>9681121.7621209994</v>
      </c>
      <c r="I3">
        <v>11633000</v>
      </c>
      <c r="J3">
        <v>-1951878.2378789999</v>
      </c>
      <c r="K3">
        <v>83.22</v>
      </c>
    </row>
    <row r="4" spans="1:11" x14ac:dyDescent="0.3">
      <c r="A4">
        <v>275</v>
      </c>
      <c r="B4" t="s">
        <v>28</v>
      </c>
      <c r="C4" t="s">
        <v>29</v>
      </c>
      <c r="D4">
        <v>11</v>
      </c>
      <c r="E4">
        <v>10</v>
      </c>
      <c r="F4">
        <v>1</v>
      </c>
      <c r="G4">
        <v>90.91</v>
      </c>
      <c r="H4">
        <v>8860133.0992419999</v>
      </c>
      <c r="I4">
        <v>10795000</v>
      </c>
      <c r="J4">
        <v>-1934866.9007580001</v>
      </c>
      <c r="K4">
        <v>82.08</v>
      </c>
    </row>
    <row r="5" spans="1:11" x14ac:dyDescent="0.3">
      <c r="A5">
        <v>281</v>
      </c>
      <c r="B5" t="s">
        <v>31</v>
      </c>
      <c r="C5" t="s">
        <v>27</v>
      </c>
      <c r="D5">
        <v>11</v>
      </c>
      <c r="E5">
        <v>8</v>
      </c>
      <c r="F5">
        <v>3</v>
      </c>
      <c r="G5">
        <v>72.73</v>
      </c>
      <c r="H5">
        <v>6147172.0578889996</v>
      </c>
      <c r="I5">
        <v>7344000</v>
      </c>
      <c r="J5">
        <v>-1196827.942111</v>
      </c>
      <c r="K5">
        <v>83.7</v>
      </c>
    </row>
    <row r="6" spans="1:11" x14ac:dyDescent="0.3">
      <c r="A6">
        <v>282</v>
      </c>
      <c r="B6" t="s">
        <v>25</v>
      </c>
      <c r="C6" t="s">
        <v>22</v>
      </c>
      <c r="D6">
        <v>11</v>
      </c>
      <c r="E6">
        <v>8</v>
      </c>
      <c r="F6">
        <v>3</v>
      </c>
      <c r="G6">
        <v>72.73</v>
      </c>
      <c r="H6">
        <v>5394187.5188809996</v>
      </c>
      <c r="I6">
        <v>6573000</v>
      </c>
      <c r="J6">
        <v>-1178812.4811189999</v>
      </c>
      <c r="K6">
        <v>82.07</v>
      </c>
    </row>
    <row r="7" spans="1:11" x14ac:dyDescent="0.3">
      <c r="A7">
        <v>290</v>
      </c>
      <c r="B7" t="s">
        <v>46</v>
      </c>
      <c r="C7" t="s">
        <v>47</v>
      </c>
      <c r="D7">
        <v>8</v>
      </c>
      <c r="E7">
        <v>7</v>
      </c>
      <c r="F7">
        <v>1</v>
      </c>
      <c r="G7">
        <v>87.5</v>
      </c>
      <c r="H7">
        <v>4390652.6314540002</v>
      </c>
      <c r="I7">
        <v>5557000</v>
      </c>
      <c r="J7">
        <v>-1166347.368546</v>
      </c>
      <c r="K7">
        <v>79.010000000000005</v>
      </c>
    </row>
    <row r="8" spans="1:11" x14ac:dyDescent="0.3">
      <c r="A8">
        <v>276</v>
      </c>
      <c r="B8" t="s">
        <v>26</v>
      </c>
      <c r="C8" t="s">
        <v>27</v>
      </c>
      <c r="D8">
        <v>11</v>
      </c>
      <c r="E8">
        <v>6</v>
      </c>
      <c r="F8">
        <v>5</v>
      </c>
      <c r="G8">
        <v>54.55</v>
      </c>
      <c r="H8">
        <v>10078820.433139</v>
      </c>
      <c r="I8">
        <v>11149000</v>
      </c>
      <c r="J8">
        <v>-1070179.5668609999</v>
      </c>
      <c r="K8">
        <v>90.4</v>
      </c>
    </row>
    <row r="9" spans="1:11" x14ac:dyDescent="0.3">
      <c r="A9">
        <v>279</v>
      </c>
      <c r="B9" t="s">
        <v>34</v>
      </c>
      <c r="C9" t="s">
        <v>35</v>
      </c>
      <c r="D9">
        <v>11</v>
      </c>
      <c r="E9">
        <v>9</v>
      </c>
      <c r="F9">
        <v>2</v>
      </c>
      <c r="G9">
        <v>81.819999999999993</v>
      </c>
      <c r="H9">
        <v>6833701.5554889999</v>
      </c>
      <c r="I9">
        <v>7872000</v>
      </c>
      <c r="J9">
        <v>-1038298.444511</v>
      </c>
      <c r="K9">
        <v>86.81</v>
      </c>
    </row>
    <row r="10" spans="1:11" x14ac:dyDescent="0.3">
      <c r="A10">
        <v>278</v>
      </c>
      <c r="B10" t="s">
        <v>21</v>
      </c>
      <c r="C10" t="s">
        <v>22</v>
      </c>
      <c r="D10">
        <v>11</v>
      </c>
      <c r="E10">
        <v>9</v>
      </c>
      <c r="F10">
        <v>2</v>
      </c>
      <c r="G10">
        <v>81.819999999999993</v>
      </c>
      <c r="H10">
        <v>3454925.038224</v>
      </c>
      <c r="I10">
        <v>4121000</v>
      </c>
      <c r="J10">
        <v>-666074.96177599998</v>
      </c>
      <c r="K10">
        <v>83.84</v>
      </c>
    </row>
    <row r="11" spans="1:11" x14ac:dyDescent="0.3">
      <c r="A11">
        <v>288</v>
      </c>
      <c r="B11" t="s">
        <v>56</v>
      </c>
      <c r="C11" t="s">
        <v>57</v>
      </c>
      <c r="D11">
        <v>4</v>
      </c>
      <c r="E11">
        <v>4</v>
      </c>
      <c r="F11">
        <v>0</v>
      </c>
      <c r="G11">
        <v>100</v>
      </c>
      <c r="H11">
        <v>1690080.464741</v>
      </c>
      <c r="I11">
        <v>2287000</v>
      </c>
      <c r="J11">
        <v>-596919.53525900003</v>
      </c>
      <c r="K11">
        <v>73.900000000000006</v>
      </c>
    </row>
    <row r="12" spans="1:11" x14ac:dyDescent="0.3">
      <c r="A12">
        <v>284</v>
      </c>
      <c r="B12" t="s">
        <v>50</v>
      </c>
      <c r="C12" t="s">
        <v>16</v>
      </c>
      <c r="D12">
        <v>7</v>
      </c>
      <c r="E12">
        <v>6</v>
      </c>
      <c r="F12">
        <v>1</v>
      </c>
      <c r="G12">
        <v>85.71</v>
      </c>
      <c r="H12">
        <v>2169162.6948389998</v>
      </c>
      <c r="I12">
        <v>2753000</v>
      </c>
      <c r="J12">
        <v>-583837.305161</v>
      </c>
      <c r="K12">
        <v>78.790000000000006</v>
      </c>
    </row>
    <row r="13" spans="1:11" x14ac:dyDescent="0.3">
      <c r="A13">
        <v>286</v>
      </c>
      <c r="B13" t="s">
        <v>54</v>
      </c>
      <c r="C13" t="s">
        <v>55</v>
      </c>
      <c r="D13">
        <v>4</v>
      </c>
      <c r="E13">
        <v>4</v>
      </c>
      <c r="F13">
        <v>0</v>
      </c>
      <c r="G13">
        <v>100</v>
      </c>
      <c r="H13">
        <v>1194465.9422899999</v>
      </c>
      <c r="I13">
        <v>1687000</v>
      </c>
      <c r="J13">
        <v>-492534.05771000002</v>
      </c>
      <c r="K13">
        <v>70.8</v>
      </c>
    </row>
    <row r="14" spans="1:11" x14ac:dyDescent="0.3">
      <c r="A14">
        <v>283</v>
      </c>
      <c r="B14" t="s">
        <v>15</v>
      </c>
      <c r="C14" t="s">
        <v>16</v>
      </c>
      <c r="D14">
        <v>11</v>
      </c>
      <c r="E14">
        <v>6</v>
      </c>
      <c r="F14">
        <v>5</v>
      </c>
      <c r="G14">
        <v>54.55</v>
      </c>
      <c r="H14">
        <v>3518520.3840649999</v>
      </c>
      <c r="I14">
        <v>3799000</v>
      </c>
      <c r="J14">
        <v>-280479.61593500001</v>
      </c>
      <c r="K14">
        <v>92.62</v>
      </c>
    </row>
    <row r="15" spans="1:11" x14ac:dyDescent="0.3">
      <c r="A15">
        <v>280</v>
      </c>
      <c r="B15" t="s">
        <v>30</v>
      </c>
      <c r="C15" t="s">
        <v>16</v>
      </c>
      <c r="D15">
        <v>11</v>
      </c>
      <c r="E15">
        <v>8</v>
      </c>
      <c r="F15">
        <v>3</v>
      </c>
      <c r="G15">
        <v>72.73</v>
      </c>
      <c r="H15">
        <v>3149556.1078710002</v>
      </c>
      <c r="I15">
        <v>3386000</v>
      </c>
      <c r="J15">
        <v>-236443.89212900001</v>
      </c>
      <c r="K15">
        <v>93.02</v>
      </c>
    </row>
    <row r="16" spans="1:11" x14ac:dyDescent="0.3">
      <c r="A16">
        <v>274</v>
      </c>
      <c r="B16" t="s">
        <v>32</v>
      </c>
      <c r="C16" t="s">
        <v>33</v>
      </c>
      <c r="D16">
        <v>11</v>
      </c>
      <c r="E16">
        <v>7</v>
      </c>
      <c r="F16">
        <v>4</v>
      </c>
      <c r="G16">
        <v>63.64</v>
      </c>
      <c r="H16">
        <v>1054470.93395</v>
      </c>
      <c r="I16">
        <v>1277000</v>
      </c>
      <c r="J16">
        <v>-222529.06604999999</v>
      </c>
      <c r="K16">
        <v>82.57</v>
      </c>
    </row>
    <row r="17" spans="1:11" x14ac:dyDescent="0.3">
      <c r="A17">
        <v>287</v>
      </c>
      <c r="B17" t="s">
        <v>42</v>
      </c>
      <c r="C17" t="s">
        <v>33</v>
      </c>
      <c r="D17">
        <v>8</v>
      </c>
      <c r="E17">
        <v>6</v>
      </c>
      <c r="F17">
        <v>2</v>
      </c>
      <c r="G17">
        <v>75</v>
      </c>
      <c r="H17">
        <v>732759.184045</v>
      </c>
      <c r="I17">
        <v>876000</v>
      </c>
      <c r="J17">
        <v>-143240.815955</v>
      </c>
      <c r="K17">
        <v>83.65</v>
      </c>
    </row>
    <row r="18" spans="1:11" x14ac:dyDescent="0.3">
      <c r="A18">
        <v>285</v>
      </c>
      <c r="B18" t="s">
        <v>58</v>
      </c>
      <c r="C18" t="s">
        <v>33</v>
      </c>
      <c r="D18">
        <v>4</v>
      </c>
      <c r="E18">
        <v>2</v>
      </c>
      <c r="F18">
        <v>2</v>
      </c>
      <c r="G18">
        <v>50</v>
      </c>
      <c r="H18">
        <v>168327.33707499999</v>
      </c>
      <c r="I18">
        <v>205000</v>
      </c>
      <c r="J18">
        <v>-36672.662924999997</v>
      </c>
      <c r="K18">
        <v>82.11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823CC-2A52-44C6-A9D2-A467F9743AC0}">
  <dimension ref="A3:G10"/>
  <sheetViews>
    <sheetView workbookViewId="0">
      <selection activeCell="E9" sqref="A3:G10"/>
    </sheetView>
  </sheetViews>
  <sheetFormatPr defaultRowHeight="14.4" x14ac:dyDescent="0.3"/>
  <cols>
    <col min="1" max="1" width="12.5546875" bestFit="1" customWidth="1"/>
    <col min="2" max="2" width="19.44140625" bestFit="1" customWidth="1"/>
    <col min="3" max="3" width="20.44140625" bestFit="1" customWidth="1"/>
    <col min="4" max="4" width="20.77734375" bestFit="1" customWidth="1"/>
    <col min="5" max="5" width="20.44140625" bestFit="1" customWidth="1"/>
    <col min="6" max="6" width="24.21875" bestFit="1" customWidth="1"/>
    <col min="7" max="7" width="25.21875" bestFit="1" customWidth="1"/>
  </cols>
  <sheetData>
    <row r="3" spans="1:7" x14ac:dyDescent="0.3">
      <c r="B3" s="3" t="s">
        <v>94</v>
      </c>
    </row>
    <row r="4" spans="1:7" x14ac:dyDescent="0.3">
      <c r="B4" t="s">
        <v>74</v>
      </c>
      <c r="D4" t="s">
        <v>75</v>
      </c>
      <c r="F4" t="s">
        <v>96</v>
      </c>
      <c r="G4" t="s">
        <v>97</v>
      </c>
    </row>
    <row r="5" spans="1:7" x14ac:dyDescent="0.3">
      <c r="A5" s="3" t="s">
        <v>88</v>
      </c>
      <c r="B5" t="s">
        <v>95</v>
      </c>
      <c r="C5" t="s">
        <v>98</v>
      </c>
      <c r="D5" t="s">
        <v>95</v>
      </c>
      <c r="E5" t="s">
        <v>98</v>
      </c>
    </row>
    <row r="6" spans="1:7" x14ac:dyDescent="0.3">
      <c r="A6" s="1" t="s">
        <v>70</v>
      </c>
      <c r="B6">
        <v>442524.50441499992</v>
      </c>
      <c r="C6" s="5">
        <v>7.6425388349605043E-3</v>
      </c>
      <c r="D6" s="4">
        <v>88481.600794999991</v>
      </c>
      <c r="E6" s="5">
        <v>4.7370072683831314E-3</v>
      </c>
      <c r="F6" s="4">
        <v>531006.10520999995</v>
      </c>
      <c r="G6" s="5">
        <v>6.9338590969543834E-3</v>
      </c>
    </row>
    <row r="7" spans="1:7" x14ac:dyDescent="0.3">
      <c r="A7" s="1" t="s">
        <v>71</v>
      </c>
      <c r="B7">
        <v>46812750.365231</v>
      </c>
      <c r="C7" s="5">
        <v>0.80847107689673614</v>
      </c>
      <c r="D7" s="4">
        <v>16350917.025686</v>
      </c>
      <c r="E7" s="5">
        <v>0.87537309564341592</v>
      </c>
      <c r="F7" s="4">
        <v>63163667.390917003</v>
      </c>
      <c r="G7" s="5">
        <v>0.82478895334415248</v>
      </c>
    </row>
    <row r="8" spans="1:7" x14ac:dyDescent="0.3">
      <c r="A8" s="1" t="s">
        <v>72</v>
      </c>
      <c r="B8">
        <v>1419832.9542279996</v>
      </c>
      <c r="C8" s="5">
        <v>2.4520966372673425E-2</v>
      </c>
      <c r="D8" s="4">
        <v>273890.31246500002</v>
      </c>
      <c r="E8" s="5">
        <v>1.4663166005465715E-2</v>
      </c>
      <c r="F8" s="4">
        <v>1693723.2666929995</v>
      </c>
      <c r="G8" s="5">
        <v>2.2116579009648238E-2</v>
      </c>
    </row>
    <row r="9" spans="1:7" x14ac:dyDescent="0.3">
      <c r="A9" s="1" t="s">
        <v>73</v>
      </c>
      <c r="B9">
        <v>9227706.1455740016</v>
      </c>
      <c r="C9" s="5">
        <v>0.15936541789562997</v>
      </c>
      <c r="D9" s="4">
        <v>1965508.8297559996</v>
      </c>
      <c r="E9" s="5">
        <v>0.1052267310827352</v>
      </c>
      <c r="F9" s="4">
        <v>11193214.975330001</v>
      </c>
      <c r="G9" s="5">
        <v>0.1461606085492449</v>
      </c>
    </row>
    <row r="10" spans="1:7" x14ac:dyDescent="0.3">
      <c r="A10" s="1" t="s">
        <v>89</v>
      </c>
      <c r="B10">
        <v>57902813.969448</v>
      </c>
      <c r="C10" s="5">
        <v>1</v>
      </c>
      <c r="D10" s="4">
        <v>18678797.768702</v>
      </c>
      <c r="E10" s="5">
        <v>1</v>
      </c>
      <c r="F10" s="4">
        <v>76581611.738150001</v>
      </c>
      <c r="G10" s="5">
        <v>1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AD742-CC46-40BD-B988-91086546546C}">
  <dimension ref="A3:F7"/>
  <sheetViews>
    <sheetView workbookViewId="0">
      <selection activeCell="H12" sqref="H12"/>
    </sheetView>
  </sheetViews>
  <sheetFormatPr defaultRowHeight="14.4" x14ac:dyDescent="0.3"/>
  <cols>
    <col min="1" max="1" width="20.21875" bestFit="1" customWidth="1"/>
    <col min="2" max="2" width="15.5546875" bestFit="1" customWidth="1"/>
    <col min="3" max="4" width="8" bestFit="1" customWidth="1"/>
    <col min="5" max="5" width="11.77734375" bestFit="1" customWidth="1"/>
    <col min="6" max="6" width="10.77734375" bestFit="1" customWidth="1"/>
    <col min="7" max="7" width="22.77734375" bestFit="1" customWidth="1"/>
    <col min="8" max="9" width="8" bestFit="1" customWidth="1"/>
    <col min="10" max="10" width="11.77734375" bestFit="1" customWidth="1"/>
    <col min="11" max="11" width="25.6640625" bestFit="1" customWidth="1"/>
    <col min="12" max="12" width="16.88671875" bestFit="1" customWidth="1"/>
    <col min="13" max="14" width="8" bestFit="1" customWidth="1"/>
    <col min="15" max="15" width="11.77734375" bestFit="1" customWidth="1"/>
    <col min="16" max="16" width="19.6640625" bestFit="1" customWidth="1"/>
    <col min="17" max="17" width="19.21875" bestFit="1" customWidth="1"/>
    <col min="18" max="19" width="8" bestFit="1" customWidth="1"/>
    <col min="20" max="20" width="11.77734375" bestFit="1" customWidth="1"/>
    <col min="21" max="21" width="22" bestFit="1" customWidth="1"/>
    <col min="22" max="22" width="10.77734375" bestFit="1" customWidth="1"/>
  </cols>
  <sheetData>
    <row r="3" spans="1:6" x14ac:dyDescent="0.3">
      <c r="A3" s="3" t="s">
        <v>95</v>
      </c>
      <c r="B3" s="3" t="s">
        <v>94</v>
      </c>
    </row>
    <row r="4" spans="1:6" x14ac:dyDescent="0.3">
      <c r="A4" s="3" t="s">
        <v>88</v>
      </c>
      <c r="B4" t="s">
        <v>70</v>
      </c>
      <c r="C4" t="s">
        <v>71</v>
      </c>
      <c r="D4" t="s">
        <v>72</v>
      </c>
      <c r="E4" t="s">
        <v>73</v>
      </c>
      <c r="F4" t="s">
        <v>89</v>
      </c>
    </row>
    <row r="5" spans="1:6" x14ac:dyDescent="0.3">
      <c r="A5" s="1" t="s">
        <v>74</v>
      </c>
      <c r="B5" s="5">
        <v>0.83336989927826211</v>
      </c>
      <c r="C5" s="5">
        <v>0.74113414085836815</v>
      </c>
      <c r="D5" s="5">
        <v>0.83829099012156116</v>
      </c>
      <c r="E5" s="5">
        <v>0.82440176177371671</v>
      </c>
      <c r="F5" s="5">
        <v>0.75609291388944555</v>
      </c>
    </row>
    <row r="6" spans="1:6" x14ac:dyDescent="0.3">
      <c r="A6" s="1" t="s">
        <v>75</v>
      </c>
      <c r="B6" s="5">
        <v>0.16663010072173781</v>
      </c>
      <c r="C6" s="5">
        <v>0.25886585914163174</v>
      </c>
      <c r="D6" s="5">
        <v>0.16170900987843886</v>
      </c>
      <c r="E6" s="5">
        <v>0.17559823822628334</v>
      </c>
      <c r="F6" s="5">
        <v>0.24390708611055445</v>
      </c>
    </row>
    <row r="7" spans="1:6" x14ac:dyDescent="0.3">
      <c r="A7" s="1" t="s">
        <v>89</v>
      </c>
      <c r="B7" s="5">
        <v>1</v>
      </c>
      <c r="C7" s="5">
        <v>1</v>
      </c>
      <c r="D7" s="5">
        <v>1</v>
      </c>
      <c r="E7" s="5">
        <v>1</v>
      </c>
      <c r="F7" s="5">
        <v>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8F173-5529-467C-93C1-EA6142B610B0}">
  <dimension ref="B2:G5"/>
  <sheetViews>
    <sheetView showGridLines="0" tabSelected="1" topLeftCell="A8" workbookViewId="0">
      <selection activeCell="J23" sqref="J23"/>
    </sheetView>
  </sheetViews>
  <sheetFormatPr defaultRowHeight="14.4" x14ac:dyDescent="0.3"/>
  <cols>
    <col min="1" max="1" width="7.21875" customWidth="1"/>
    <col min="2" max="2" width="21.21875" customWidth="1"/>
    <col min="3" max="3" width="22.109375" customWidth="1"/>
    <col min="4" max="4" width="21.33203125" customWidth="1"/>
    <col min="5" max="5" width="24.109375" customWidth="1"/>
    <col min="6" max="6" width="21.33203125" customWidth="1"/>
  </cols>
  <sheetData>
    <row r="2" spans="2:7" ht="23.4" x14ac:dyDescent="0.45">
      <c r="B2" s="8" t="s">
        <v>99</v>
      </c>
      <c r="C2" s="6"/>
      <c r="D2" s="6"/>
      <c r="E2" s="6"/>
      <c r="F2" s="6"/>
      <c r="G2" s="7"/>
    </row>
    <row r="4" spans="2:7" x14ac:dyDescent="0.3">
      <c r="B4" t="s">
        <v>100</v>
      </c>
      <c r="C4" t="s">
        <v>101</v>
      </c>
      <c r="D4" t="s">
        <v>102</v>
      </c>
      <c r="E4" t="s">
        <v>103</v>
      </c>
      <c r="F4" t="s">
        <v>104</v>
      </c>
    </row>
    <row r="5" spans="2:7" x14ac:dyDescent="0.3">
      <c r="B5" s="9">
        <f>SUMIFS(tblQuarterlyPerformance[ActualSales],tblQuarterlyPerformance[IsComparablePeriod],1)</f>
        <v>76581611.738149986</v>
      </c>
      <c r="C5" s="9">
        <f>SUMIFS(tblQuarterlyPerformance[SalesQuota],tblQuarterlyPerformance[IsComparablePeriod],1)</f>
        <v>91828000</v>
      </c>
      <c r="D5" s="9">
        <f>B5-C5</f>
        <v>-15246388.261850014</v>
      </c>
      <c r="E5" s="5">
        <f>IFERROR(B5/C5,0)</f>
        <v>0.83396798077002643</v>
      </c>
      <c r="F5" s="5">
        <f>IFERROR(COUNTIFS(tblQuarterlyPerformance[IsComparablePeriod],1,tblQuarterlyPerformance[AttainmentPct],"&lt;100")/COUNTIF(tblQuarterlyPerformance[IsComparablePeriod],1),0)</f>
        <v>0.75816993464052285</v>
      </c>
    </row>
  </sheetData>
  <mergeCells count="1">
    <mergeCell ref="B2:F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4FF29-F673-47A0-BFCF-FBD25455702B}">
  <dimension ref="A1:M694"/>
  <sheetViews>
    <sheetView topLeftCell="A2" workbookViewId="0">
      <selection activeCell="C17" sqref="C17"/>
    </sheetView>
  </sheetViews>
  <sheetFormatPr defaultRowHeight="14.4" x14ac:dyDescent="0.3"/>
  <cols>
    <col min="1" max="1" width="15" bestFit="1" customWidth="1"/>
    <col min="2" max="2" width="20.88671875" bestFit="1" customWidth="1"/>
    <col min="3" max="3" width="18" bestFit="1" customWidth="1"/>
    <col min="4" max="4" width="11.109375" bestFit="1" customWidth="1"/>
    <col min="5" max="5" width="13.88671875" bestFit="1" customWidth="1"/>
    <col min="6" max="6" width="19.44140625" bestFit="1" customWidth="1"/>
    <col min="7" max="7" width="15.88671875" bestFit="1" customWidth="1"/>
    <col min="8" max="8" width="25.77734375" bestFit="1" customWidth="1"/>
    <col min="9" max="9" width="11.21875" bestFit="1" customWidth="1"/>
    <col min="10" max="10" width="15" bestFit="1" customWidth="1"/>
    <col min="11" max="11" width="24.6640625" customWidth="1"/>
    <col min="12" max="12" width="22.5546875" customWidth="1"/>
    <col min="13" max="13" width="16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64</v>
      </c>
      <c r="G1" t="s">
        <v>65</v>
      </c>
      <c r="H1" t="s">
        <v>66</v>
      </c>
      <c r="I1" t="s">
        <v>67</v>
      </c>
      <c r="J1" t="s">
        <v>68</v>
      </c>
      <c r="K1" t="s">
        <v>69</v>
      </c>
      <c r="L1" t="s">
        <v>84</v>
      </c>
      <c r="M1" t="s">
        <v>85</v>
      </c>
    </row>
    <row r="2" spans="1:13" x14ac:dyDescent="0.3">
      <c r="A2">
        <v>283</v>
      </c>
      <c r="B2" t="s">
        <v>15</v>
      </c>
      <c r="C2" t="s">
        <v>16</v>
      </c>
      <c r="D2">
        <v>2011</v>
      </c>
      <c r="E2">
        <v>2</v>
      </c>
      <c r="F2">
        <v>4</v>
      </c>
      <c r="G2" t="s">
        <v>70</v>
      </c>
      <c r="H2">
        <v>3</v>
      </c>
      <c r="I2">
        <v>11</v>
      </c>
      <c r="J2">
        <v>222.0515</v>
      </c>
      <c r="K2" t="s">
        <v>19</v>
      </c>
      <c r="L2" t="str">
        <f>_xlfn.XLOOKUP(tblCategorySales[[#This Row],[SalesPersonID]],tblSalespersonSummary[SalesPersonID],tblSalespersonSummary[SalespersonName],"Not found")</f>
        <v>David Campbell</v>
      </c>
      <c r="M2" t="str">
        <f>IF(tblCategorySales[[#This Row],[SalespersonName]]=tblCategorySales[[#This Row],[ExpectedSalespersonName]],"Match","Mismatch")</f>
        <v>Match</v>
      </c>
    </row>
    <row r="3" spans="1:13" x14ac:dyDescent="0.3">
      <c r="A3">
        <v>283</v>
      </c>
      <c r="B3" t="s">
        <v>15</v>
      </c>
      <c r="C3" t="s">
        <v>16</v>
      </c>
      <c r="D3">
        <v>2011</v>
      </c>
      <c r="E3">
        <v>2</v>
      </c>
      <c r="F3">
        <v>1</v>
      </c>
      <c r="G3" t="s">
        <v>71</v>
      </c>
      <c r="H3">
        <v>4</v>
      </c>
      <c r="I3">
        <v>43</v>
      </c>
      <c r="J3">
        <v>67526.229200000002</v>
      </c>
      <c r="K3" t="s">
        <v>19</v>
      </c>
      <c r="L3" t="str">
        <f>_xlfn.XLOOKUP(tblCategorySales[[#This Row],[SalesPersonID]],tblSalespersonSummary[SalesPersonID],tblSalespersonSummary[SalespersonName],"Not found")</f>
        <v>David Campbell</v>
      </c>
      <c r="M3" t="str">
        <f>IF(tblCategorySales[[#This Row],[SalespersonName]]=tblCategorySales[[#This Row],[ExpectedSalespersonName]],"Match","Mismatch")</f>
        <v>Match</v>
      </c>
    </row>
    <row r="4" spans="1:13" x14ac:dyDescent="0.3">
      <c r="A4">
        <v>283</v>
      </c>
      <c r="B4" t="s">
        <v>15</v>
      </c>
      <c r="C4" t="s">
        <v>16</v>
      </c>
      <c r="D4">
        <v>2011</v>
      </c>
      <c r="E4">
        <v>2</v>
      </c>
      <c r="F4">
        <v>3</v>
      </c>
      <c r="G4" t="s">
        <v>72</v>
      </c>
      <c r="H4">
        <v>3</v>
      </c>
      <c r="I4">
        <v>24</v>
      </c>
      <c r="J4">
        <v>296.21530000000001</v>
      </c>
      <c r="K4" t="s">
        <v>19</v>
      </c>
      <c r="L4" t="str">
        <f>_xlfn.XLOOKUP(tblCategorySales[[#This Row],[SalesPersonID]],tblSalespersonSummary[SalesPersonID],tblSalespersonSummary[SalespersonName],"Not found")</f>
        <v>David Campbell</v>
      </c>
      <c r="M4" t="str">
        <f>IF(tblCategorySales[[#This Row],[SalespersonName]]=tblCategorySales[[#This Row],[ExpectedSalespersonName]],"Match","Mismatch")</f>
        <v>Match</v>
      </c>
    </row>
    <row r="5" spans="1:13" x14ac:dyDescent="0.3">
      <c r="A5">
        <v>283</v>
      </c>
      <c r="B5" t="s">
        <v>15</v>
      </c>
      <c r="C5" t="s">
        <v>16</v>
      </c>
      <c r="D5">
        <v>2011</v>
      </c>
      <c r="E5">
        <v>2</v>
      </c>
      <c r="F5">
        <v>2</v>
      </c>
      <c r="G5" t="s">
        <v>73</v>
      </c>
      <c r="H5">
        <v>2</v>
      </c>
      <c r="I5">
        <v>3</v>
      </c>
      <c r="J5">
        <v>1428.5002999999999</v>
      </c>
      <c r="K5" t="s">
        <v>19</v>
      </c>
      <c r="L5" t="str">
        <f>_xlfn.XLOOKUP(tblCategorySales[[#This Row],[SalesPersonID]],tblSalespersonSummary[SalesPersonID],tblSalespersonSummary[SalespersonName],"Not found")</f>
        <v>David Campbell</v>
      </c>
      <c r="M5" t="str">
        <f>IF(tblCategorySales[[#This Row],[SalespersonName]]=tblCategorySales[[#This Row],[ExpectedSalespersonName]],"Match","Mismatch")</f>
        <v>Match</v>
      </c>
    </row>
    <row r="6" spans="1:13" x14ac:dyDescent="0.3">
      <c r="A6">
        <v>278</v>
      </c>
      <c r="B6" t="s">
        <v>21</v>
      </c>
      <c r="C6" t="s">
        <v>22</v>
      </c>
      <c r="D6">
        <v>2011</v>
      </c>
      <c r="E6">
        <v>2</v>
      </c>
      <c r="F6">
        <v>4</v>
      </c>
      <c r="G6" t="s">
        <v>70</v>
      </c>
      <c r="H6">
        <v>1</v>
      </c>
      <c r="I6">
        <v>3</v>
      </c>
      <c r="J6">
        <v>60.5595</v>
      </c>
      <c r="K6" t="s">
        <v>19</v>
      </c>
      <c r="L6" t="str">
        <f>_xlfn.XLOOKUP(tblCategorySales[[#This Row],[SalesPersonID]],tblSalespersonSummary[SalesPersonID],tblSalespersonSummary[SalespersonName],"Not found")</f>
        <v>Garrett Vargas</v>
      </c>
      <c r="M6" t="str">
        <f>IF(tblCategorySales[[#This Row],[SalespersonName]]=tblCategorySales[[#This Row],[ExpectedSalespersonName]],"Match","Mismatch")</f>
        <v>Match</v>
      </c>
    </row>
    <row r="7" spans="1:13" x14ac:dyDescent="0.3">
      <c r="A7">
        <v>278</v>
      </c>
      <c r="B7" t="s">
        <v>21</v>
      </c>
      <c r="C7" t="s">
        <v>22</v>
      </c>
      <c r="D7">
        <v>2011</v>
      </c>
      <c r="E7">
        <v>2</v>
      </c>
      <c r="F7">
        <v>1</v>
      </c>
      <c r="G7" t="s">
        <v>71</v>
      </c>
      <c r="H7">
        <v>2</v>
      </c>
      <c r="I7">
        <v>14</v>
      </c>
      <c r="J7">
        <v>8510.5979000000007</v>
      </c>
      <c r="K7" t="s">
        <v>19</v>
      </c>
      <c r="L7" t="str">
        <f>_xlfn.XLOOKUP(tblCategorySales[[#This Row],[SalesPersonID]],tblSalespersonSummary[SalesPersonID],tblSalespersonSummary[SalespersonName],"Not found")</f>
        <v>Garrett Vargas</v>
      </c>
      <c r="M7" t="str">
        <f>IF(tblCategorySales[[#This Row],[SalespersonName]]=tblCategorySales[[#This Row],[ExpectedSalespersonName]],"Match","Mismatch")</f>
        <v>Match</v>
      </c>
    </row>
    <row r="8" spans="1:13" x14ac:dyDescent="0.3">
      <c r="A8">
        <v>278</v>
      </c>
      <c r="B8" t="s">
        <v>21</v>
      </c>
      <c r="C8" t="s">
        <v>22</v>
      </c>
      <c r="D8">
        <v>2011</v>
      </c>
      <c r="E8">
        <v>2</v>
      </c>
      <c r="F8">
        <v>3</v>
      </c>
      <c r="G8" t="s">
        <v>72</v>
      </c>
      <c r="H8">
        <v>2</v>
      </c>
      <c r="I8">
        <v>10</v>
      </c>
      <c r="J8">
        <v>170.1345</v>
      </c>
      <c r="K8" t="s">
        <v>19</v>
      </c>
      <c r="L8" t="str">
        <f>_xlfn.XLOOKUP(tblCategorySales[[#This Row],[SalesPersonID]],tblSalespersonSummary[SalesPersonID],tblSalespersonSummary[SalespersonName],"Not found")</f>
        <v>Garrett Vargas</v>
      </c>
      <c r="M8" t="str">
        <f>IF(tblCategorySales[[#This Row],[SalespersonName]]=tblCategorySales[[#This Row],[ExpectedSalespersonName]],"Match","Mismatch")</f>
        <v>Match</v>
      </c>
    </row>
    <row r="9" spans="1:13" x14ac:dyDescent="0.3">
      <c r="A9">
        <v>278</v>
      </c>
      <c r="B9" t="s">
        <v>21</v>
      </c>
      <c r="C9" t="s">
        <v>22</v>
      </c>
      <c r="D9">
        <v>2011</v>
      </c>
      <c r="E9">
        <v>2</v>
      </c>
      <c r="F9">
        <v>2</v>
      </c>
      <c r="G9" t="s">
        <v>73</v>
      </c>
      <c r="H9">
        <v>1</v>
      </c>
      <c r="I9">
        <v>2</v>
      </c>
      <c r="J9">
        <v>367.87639999999999</v>
      </c>
      <c r="K9" t="s">
        <v>19</v>
      </c>
      <c r="L9" t="str">
        <f>_xlfn.XLOOKUP(tblCategorySales[[#This Row],[SalesPersonID]],tblSalespersonSummary[SalesPersonID],tblSalespersonSummary[SalespersonName],"Not found")</f>
        <v>Garrett Vargas</v>
      </c>
      <c r="M9" t="str">
        <f>IF(tblCategorySales[[#This Row],[SalespersonName]]=tblCategorySales[[#This Row],[ExpectedSalespersonName]],"Match","Mismatch")</f>
        <v>Match</v>
      </c>
    </row>
    <row r="10" spans="1:13" x14ac:dyDescent="0.3">
      <c r="A10">
        <v>277</v>
      </c>
      <c r="B10" t="s">
        <v>23</v>
      </c>
      <c r="C10" t="s">
        <v>24</v>
      </c>
      <c r="D10">
        <v>2011</v>
      </c>
      <c r="E10">
        <v>2</v>
      </c>
      <c r="F10">
        <v>4</v>
      </c>
      <c r="G10" t="s">
        <v>70</v>
      </c>
      <c r="H10">
        <v>1</v>
      </c>
      <c r="I10">
        <v>6</v>
      </c>
      <c r="J10">
        <v>121.119</v>
      </c>
      <c r="K10" t="s">
        <v>19</v>
      </c>
      <c r="L10" t="str">
        <f>_xlfn.XLOOKUP(tblCategorySales[[#This Row],[SalesPersonID]],tblSalespersonSummary[SalesPersonID],tblSalespersonSummary[SalespersonName],"Not found")</f>
        <v>Jillian Carson</v>
      </c>
      <c r="M10" t="str">
        <f>IF(tblCategorySales[[#This Row],[SalespersonName]]=tblCategorySales[[#This Row],[ExpectedSalespersonName]],"Match","Mismatch")</f>
        <v>Match</v>
      </c>
    </row>
    <row r="11" spans="1:13" x14ac:dyDescent="0.3">
      <c r="A11">
        <v>277</v>
      </c>
      <c r="B11" t="s">
        <v>23</v>
      </c>
      <c r="C11" t="s">
        <v>24</v>
      </c>
      <c r="D11">
        <v>2011</v>
      </c>
      <c r="E11">
        <v>2</v>
      </c>
      <c r="F11">
        <v>1</v>
      </c>
      <c r="G11" t="s">
        <v>71</v>
      </c>
      <c r="H11">
        <v>4</v>
      </c>
      <c r="I11">
        <v>65</v>
      </c>
      <c r="J11">
        <v>43198.299400000004</v>
      </c>
      <c r="K11" t="s">
        <v>19</v>
      </c>
      <c r="L11" t="str">
        <f>_xlfn.XLOOKUP(tblCategorySales[[#This Row],[SalesPersonID]],tblSalespersonSummary[SalesPersonID],tblSalespersonSummary[SalespersonName],"Not found")</f>
        <v>Jillian Carson</v>
      </c>
      <c r="M11" t="str">
        <f>IF(tblCategorySales[[#This Row],[SalespersonName]]=tblCategorySales[[#This Row],[ExpectedSalespersonName]],"Match","Mismatch")</f>
        <v>Match</v>
      </c>
    </row>
    <row r="12" spans="1:13" x14ac:dyDescent="0.3">
      <c r="A12">
        <v>277</v>
      </c>
      <c r="B12" t="s">
        <v>23</v>
      </c>
      <c r="C12" t="s">
        <v>24</v>
      </c>
      <c r="D12">
        <v>2011</v>
      </c>
      <c r="E12">
        <v>2</v>
      </c>
      <c r="F12">
        <v>3</v>
      </c>
      <c r="G12" t="s">
        <v>72</v>
      </c>
      <c r="H12">
        <v>2</v>
      </c>
      <c r="I12">
        <v>8</v>
      </c>
      <c r="J12">
        <v>113.99420000000001</v>
      </c>
      <c r="K12" t="s">
        <v>19</v>
      </c>
      <c r="L12" t="str">
        <f>_xlfn.XLOOKUP(tblCategorySales[[#This Row],[SalesPersonID]],tblSalespersonSummary[SalesPersonID],tblSalespersonSummary[SalespersonName],"Not found")</f>
        <v>Jillian Carson</v>
      </c>
      <c r="M12" t="str">
        <f>IF(tblCategorySales[[#This Row],[SalespersonName]]=tblCategorySales[[#This Row],[ExpectedSalespersonName]],"Match","Mismatch")</f>
        <v>Match</v>
      </c>
    </row>
    <row r="13" spans="1:13" x14ac:dyDescent="0.3">
      <c r="A13">
        <v>277</v>
      </c>
      <c r="B13" t="s">
        <v>23</v>
      </c>
      <c r="C13" t="s">
        <v>24</v>
      </c>
      <c r="D13">
        <v>2011</v>
      </c>
      <c r="E13">
        <v>2</v>
      </c>
      <c r="F13">
        <v>2</v>
      </c>
      <c r="G13" t="s">
        <v>73</v>
      </c>
      <c r="H13">
        <v>2</v>
      </c>
      <c r="I13">
        <v>16</v>
      </c>
      <c r="J13">
        <v>3262.1437999999998</v>
      </c>
      <c r="K13" t="s">
        <v>19</v>
      </c>
      <c r="L13" t="str">
        <f>_xlfn.XLOOKUP(tblCategorySales[[#This Row],[SalesPersonID]],tblSalespersonSummary[SalesPersonID],tblSalespersonSummary[SalespersonName],"Not found")</f>
        <v>Jillian Carson</v>
      </c>
      <c r="M13" t="str">
        <f>IF(tblCategorySales[[#This Row],[SalespersonName]]=tblCategorySales[[#This Row],[ExpectedSalespersonName]],"Match","Mismatch")</f>
        <v>Match</v>
      </c>
    </row>
    <row r="14" spans="1:13" x14ac:dyDescent="0.3">
      <c r="A14">
        <v>282</v>
      </c>
      <c r="B14" t="s">
        <v>25</v>
      </c>
      <c r="C14" t="s">
        <v>22</v>
      </c>
      <c r="D14">
        <v>2011</v>
      </c>
      <c r="E14">
        <v>2</v>
      </c>
      <c r="F14">
        <v>4</v>
      </c>
      <c r="G14" t="s">
        <v>70</v>
      </c>
      <c r="H14">
        <v>2</v>
      </c>
      <c r="I14">
        <v>12</v>
      </c>
      <c r="J14">
        <v>242.238</v>
      </c>
      <c r="K14" t="s">
        <v>19</v>
      </c>
      <c r="L14" t="str">
        <f>_xlfn.XLOOKUP(tblCategorySales[[#This Row],[SalesPersonID]],tblSalespersonSummary[SalesPersonID],tblSalespersonSummary[SalespersonName],"Not found")</f>
        <v>José Saraiva</v>
      </c>
      <c r="M14" t="str">
        <f>IF(tblCategorySales[[#This Row],[SalespersonName]]=tblCategorySales[[#This Row],[ExpectedSalespersonName]],"Match","Mismatch")</f>
        <v>Match</v>
      </c>
    </row>
    <row r="15" spans="1:13" x14ac:dyDescent="0.3">
      <c r="A15">
        <v>282</v>
      </c>
      <c r="B15" t="s">
        <v>25</v>
      </c>
      <c r="C15" t="s">
        <v>22</v>
      </c>
      <c r="D15">
        <v>2011</v>
      </c>
      <c r="E15">
        <v>2</v>
      </c>
      <c r="F15">
        <v>1</v>
      </c>
      <c r="G15" t="s">
        <v>71</v>
      </c>
      <c r="H15">
        <v>5</v>
      </c>
      <c r="I15">
        <v>107</v>
      </c>
      <c r="J15">
        <v>90730.394199999995</v>
      </c>
      <c r="K15" t="s">
        <v>19</v>
      </c>
      <c r="L15" t="str">
        <f>_xlfn.XLOOKUP(tblCategorySales[[#This Row],[SalesPersonID]],tblSalespersonSummary[SalesPersonID],tblSalespersonSummary[SalespersonName],"Not found")</f>
        <v>José Saraiva</v>
      </c>
      <c r="M15" t="str">
        <f>IF(tblCategorySales[[#This Row],[SalespersonName]]=tblCategorySales[[#This Row],[ExpectedSalespersonName]],"Match","Mismatch")</f>
        <v>Match</v>
      </c>
    </row>
    <row r="16" spans="1:13" x14ac:dyDescent="0.3">
      <c r="A16">
        <v>282</v>
      </c>
      <c r="B16" t="s">
        <v>25</v>
      </c>
      <c r="C16" t="s">
        <v>22</v>
      </c>
      <c r="D16">
        <v>2011</v>
      </c>
      <c r="E16">
        <v>2</v>
      </c>
      <c r="F16">
        <v>3</v>
      </c>
      <c r="G16" t="s">
        <v>72</v>
      </c>
      <c r="H16">
        <v>3</v>
      </c>
      <c r="I16">
        <v>31</v>
      </c>
      <c r="J16">
        <v>565.97879999999998</v>
      </c>
      <c r="K16" t="s">
        <v>19</v>
      </c>
      <c r="L16" t="str">
        <f>_xlfn.XLOOKUP(tblCategorySales[[#This Row],[SalesPersonID]],tblSalespersonSummary[SalesPersonID],tblSalespersonSummary[SalespersonName],"Not found")</f>
        <v>José Saraiva</v>
      </c>
      <c r="M16" t="str">
        <f>IF(tblCategorySales[[#This Row],[SalespersonName]]=tblCategorySales[[#This Row],[ExpectedSalespersonName]],"Match","Mismatch")</f>
        <v>Match</v>
      </c>
    </row>
    <row r="17" spans="1:13" x14ac:dyDescent="0.3">
      <c r="A17">
        <v>282</v>
      </c>
      <c r="B17" t="s">
        <v>25</v>
      </c>
      <c r="C17" t="s">
        <v>22</v>
      </c>
      <c r="D17">
        <v>2011</v>
      </c>
      <c r="E17">
        <v>2</v>
      </c>
      <c r="F17">
        <v>2</v>
      </c>
      <c r="G17" t="s">
        <v>73</v>
      </c>
      <c r="H17">
        <v>3</v>
      </c>
      <c r="I17">
        <v>47</v>
      </c>
      <c r="J17">
        <v>14713.1167</v>
      </c>
      <c r="K17" t="s">
        <v>19</v>
      </c>
      <c r="L17" t="str">
        <f>_xlfn.XLOOKUP(tblCategorySales[[#This Row],[SalesPersonID]],tblSalespersonSummary[SalesPersonID],tblSalespersonSummary[SalespersonName],"Not found")</f>
        <v>José Saraiva</v>
      </c>
      <c r="M17" t="str">
        <f>IF(tblCategorySales[[#This Row],[SalespersonName]]=tblCategorySales[[#This Row],[ExpectedSalespersonName]],"Match","Mismatch")</f>
        <v>Match</v>
      </c>
    </row>
    <row r="18" spans="1:13" x14ac:dyDescent="0.3">
      <c r="A18">
        <v>276</v>
      </c>
      <c r="B18" t="s">
        <v>26</v>
      </c>
      <c r="C18" t="s">
        <v>27</v>
      </c>
      <c r="D18">
        <v>2011</v>
      </c>
      <c r="E18">
        <v>2</v>
      </c>
      <c r="F18">
        <v>1</v>
      </c>
      <c r="G18" t="s">
        <v>71</v>
      </c>
      <c r="H18">
        <v>2</v>
      </c>
      <c r="I18">
        <v>7</v>
      </c>
      <c r="J18">
        <v>5119.0505000000003</v>
      </c>
      <c r="K18" t="s">
        <v>19</v>
      </c>
      <c r="L18" t="str">
        <f>_xlfn.XLOOKUP(tblCategorySales[[#This Row],[SalesPersonID]],tblSalespersonSummary[SalesPersonID],tblSalespersonSummary[SalespersonName],"Not found")</f>
        <v>Linda Mitchell</v>
      </c>
      <c r="M18" t="str">
        <f>IF(tblCategorySales[[#This Row],[SalespersonName]]=tblCategorySales[[#This Row],[ExpectedSalespersonName]],"Match","Mismatch")</f>
        <v>Match</v>
      </c>
    </row>
    <row r="19" spans="1:13" x14ac:dyDescent="0.3">
      <c r="A19">
        <v>276</v>
      </c>
      <c r="B19" t="s">
        <v>26</v>
      </c>
      <c r="C19" t="s">
        <v>27</v>
      </c>
      <c r="D19">
        <v>2011</v>
      </c>
      <c r="E19">
        <v>2</v>
      </c>
      <c r="F19">
        <v>2</v>
      </c>
      <c r="G19" t="s">
        <v>73</v>
      </c>
      <c r="H19">
        <v>1</v>
      </c>
      <c r="I19">
        <v>1</v>
      </c>
      <c r="J19">
        <v>356.89800000000002</v>
      </c>
      <c r="K19" t="s">
        <v>19</v>
      </c>
      <c r="L19" t="str">
        <f>_xlfn.XLOOKUP(tblCategorySales[[#This Row],[SalesPersonID]],tblSalespersonSummary[SalesPersonID],tblSalespersonSummary[SalespersonName],"Not found")</f>
        <v>Linda Mitchell</v>
      </c>
      <c r="M19" t="str">
        <f>IF(tblCategorySales[[#This Row],[SalespersonName]]=tblCategorySales[[#This Row],[ExpectedSalespersonName]],"Match","Mismatch")</f>
        <v>Match</v>
      </c>
    </row>
    <row r="20" spans="1:13" x14ac:dyDescent="0.3">
      <c r="A20">
        <v>275</v>
      </c>
      <c r="B20" t="s">
        <v>28</v>
      </c>
      <c r="C20" t="s">
        <v>29</v>
      </c>
      <c r="D20">
        <v>2011</v>
      </c>
      <c r="E20">
        <v>2</v>
      </c>
      <c r="F20">
        <v>4</v>
      </c>
      <c r="G20" t="s">
        <v>70</v>
      </c>
      <c r="H20">
        <v>2</v>
      </c>
      <c r="I20">
        <v>11</v>
      </c>
      <c r="J20">
        <v>222.0515</v>
      </c>
      <c r="K20" t="s">
        <v>19</v>
      </c>
      <c r="L20" t="str">
        <f>_xlfn.XLOOKUP(tblCategorySales[[#This Row],[SalesPersonID]],tblSalespersonSummary[SalesPersonID],tblSalespersonSummary[SalespersonName],"Not found")</f>
        <v>Michael Blythe</v>
      </c>
      <c r="M20" t="str">
        <f>IF(tblCategorySales[[#This Row],[SalespersonName]]=tblCategorySales[[#This Row],[ExpectedSalespersonName]],"Match","Mismatch")</f>
        <v>Match</v>
      </c>
    </row>
    <row r="21" spans="1:13" x14ac:dyDescent="0.3">
      <c r="A21">
        <v>275</v>
      </c>
      <c r="B21" t="s">
        <v>28</v>
      </c>
      <c r="C21" t="s">
        <v>29</v>
      </c>
      <c r="D21">
        <v>2011</v>
      </c>
      <c r="E21">
        <v>2</v>
      </c>
      <c r="F21">
        <v>1</v>
      </c>
      <c r="G21" t="s">
        <v>71</v>
      </c>
      <c r="H21">
        <v>8</v>
      </c>
      <c r="I21">
        <v>55</v>
      </c>
      <c r="J21">
        <v>61943.293400000002</v>
      </c>
      <c r="K21" t="s">
        <v>19</v>
      </c>
      <c r="L21" t="str">
        <f>_xlfn.XLOOKUP(tblCategorySales[[#This Row],[SalesPersonID]],tblSalespersonSummary[SalesPersonID],tblSalespersonSummary[SalespersonName],"Not found")</f>
        <v>Michael Blythe</v>
      </c>
      <c r="M21" t="str">
        <f>IF(tblCategorySales[[#This Row],[SalespersonName]]=tblCategorySales[[#This Row],[ExpectedSalespersonName]],"Match","Mismatch")</f>
        <v>Match</v>
      </c>
    </row>
    <row r="22" spans="1:13" x14ac:dyDescent="0.3">
      <c r="A22">
        <v>275</v>
      </c>
      <c r="B22" t="s">
        <v>28</v>
      </c>
      <c r="C22" t="s">
        <v>29</v>
      </c>
      <c r="D22">
        <v>2011</v>
      </c>
      <c r="E22">
        <v>2</v>
      </c>
      <c r="F22">
        <v>3</v>
      </c>
      <c r="G22" t="s">
        <v>72</v>
      </c>
      <c r="H22">
        <v>6</v>
      </c>
      <c r="I22">
        <v>25</v>
      </c>
      <c r="J22">
        <v>326.08269999999999</v>
      </c>
      <c r="K22" t="s">
        <v>19</v>
      </c>
      <c r="L22" t="str">
        <f>_xlfn.XLOOKUP(tblCategorySales[[#This Row],[SalesPersonID]],tblSalespersonSummary[SalesPersonID],tblSalespersonSummary[SalespersonName],"Not found")</f>
        <v>Michael Blythe</v>
      </c>
      <c r="M22" t="str">
        <f>IF(tblCategorySales[[#This Row],[SalespersonName]]=tblCategorySales[[#This Row],[ExpectedSalespersonName]],"Match","Mismatch")</f>
        <v>Match</v>
      </c>
    </row>
    <row r="23" spans="1:13" x14ac:dyDescent="0.3">
      <c r="A23">
        <v>275</v>
      </c>
      <c r="B23" t="s">
        <v>28</v>
      </c>
      <c r="C23" t="s">
        <v>29</v>
      </c>
      <c r="D23">
        <v>2011</v>
      </c>
      <c r="E23">
        <v>2</v>
      </c>
      <c r="F23">
        <v>2</v>
      </c>
      <c r="G23" t="s">
        <v>73</v>
      </c>
      <c r="H23">
        <v>2</v>
      </c>
      <c r="I23">
        <v>7</v>
      </c>
      <c r="J23">
        <v>1271.4952000000001</v>
      </c>
      <c r="K23" t="s">
        <v>19</v>
      </c>
      <c r="L23" t="str">
        <f>_xlfn.XLOOKUP(tblCategorySales[[#This Row],[SalesPersonID]],tblSalespersonSummary[SalesPersonID],tblSalespersonSummary[SalespersonName],"Not found")</f>
        <v>Michael Blythe</v>
      </c>
      <c r="M23" t="str">
        <f>IF(tblCategorySales[[#This Row],[SalespersonName]]=tblCategorySales[[#This Row],[ExpectedSalespersonName]],"Match","Mismatch")</f>
        <v>Match</v>
      </c>
    </row>
    <row r="24" spans="1:13" x14ac:dyDescent="0.3">
      <c r="A24">
        <v>280</v>
      </c>
      <c r="B24" t="s">
        <v>30</v>
      </c>
      <c r="C24" t="s">
        <v>16</v>
      </c>
      <c r="D24">
        <v>2011</v>
      </c>
      <c r="E24">
        <v>2</v>
      </c>
      <c r="F24">
        <v>1</v>
      </c>
      <c r="G24" t="s">
        <v>71</v>
      </c>
      <c r="H24">
        <v>1</v>
      </c>
      <c r="I24">
        <v>12</v>
      </c>
      <c r="J24">
        <v>24374.928</v>
      </c>
      <c r="K24" t="s">
        <v>19</v>
      </c>
      <c r="L24" t="str">
        <f>_xlfn.XLOOKUP(tblCategorySales[[#This Row],[SalesPersonID]],tblSalespersonSummary[SalesPersonID],tblSalespersonSummary[SalespersonName],"Not found")</f>
        <v>Pamela Ansman-Wolfe</v>
      </c>
      <c r="M24" t="str">
        <f>IF(tblCategorySales[[#This Row],[SalespersonName]]=tblCategorySales[[#This Row],[ExpectedSalespersonName]],"Match","Mismatch")</f>
        <v>Match</v>
      </c>
    </row>
    <row r="25" spans="1:13" x14ac:dyDescent="0.3">
      <c r="A25">
        <v>280</v>
      </c>
      <c r="B25" t="s">
        <v>30</v>
      </c>
      <c r="C25" t="s">
        <v>16</v>
      </c>
      <c r="D25">
        <v>2011</v>
      </c>
      <c r="E25">
        <v>2</v>
      </c>
      <c r="F25">
        <v>3</v>
      </c>
      <c r="G25" t="s">
        <v>72</v>
      </c>
      <c r="H25">
        <v>1</v>
      </c>
      <c r="I25">
        <v>2</v>
      </c>
      <c r="J25">
        <v>57.680799999999998</v>
      </c>
      <c r="K25" t="s">
        <v>19</v>
      </c>
      <c r="L25" t="str">
        <f>_xlfn.XLOOKUP(tblCategorySales[[#This Row],[SalesPersonID]],tblSalespersonSummary[SalesPersonID],tblSalespersonSummary[SalespersonName],"Not found")</f>
        <v>Pamela Ansman-Wolfe</v>
      </c>
      <c r="M25" t="str">
        <f>IF(tblCategorySales[[#This Row],[SalespersonName]]=tblCategorySales[[#This Row],[ExpectedSalespersonName]],"Match","Mismatch")</f>
        <v>Match</v>
      </c>
    </row>
    <row r="26" spans="1:13" x14ac:dyDescent="0.3">
      <c r="A26">
        <v>281</v>
      </c>
      <c r="B26" t="s">
        <v>31</v>
      </c>
      <c r="C26" t="s">
        <v>27</v>
      </c>
      <c r="D26">
        <v>2011</v>
      </c>
      <c r="E26">
        <v>2</v>
      </c>
      <c r="F26">
        <v>4</v>
      </c>
      <c r="G26" t="s">
        <v>70</v>
      </c>
      <c r="H26">
        <v>3</v>
      </c>
      <c r="I26">
        <v>25</v>
      </c>
      <c r="J26">
        <v>504.66250000000002</v>
      </c>
      <c r="K26" t="s">
        <v>19</v>
      </c>
      <c r="L26" t="str">
        <f>_xlfn.XLOOKUP(tblCategorySales[[#This Row],[SalesPersonID]],tblSalespersonSummary[SalesPersonID],tblSalespersonSummary[SalespersonName],"Not found")</f>
        <v>Shu Ito</v>
      </c>
      <c r="M26" t="str">
        <f>IF(tblCategorySales[[#This Row],[SalespersonName]]=tblCategorySales[[#This Row],[ExpectedSalespersonName]],"Match","Mismatch")</f>
        <v>Match</v>
      </c>
    </row>
    <row r="27" spans="1:13" x14ac:dyDescent="0.3">
      <c r="A27">
        <v>281</v>
      </c>
      <c r="B27" t="s">
        <v>31</v>
      </c>
      <c r="C27" t="s">
        <v>27</v>
      </c>
      <c r="D27">
        <v>2011</v>
      </c>
      <c r="E27">
        <v>2</v>
      </c>
      <c r="F27">
        <v>1</v>
      </c>
      <c r="G27" t="s">
        <v>71</v>
      </c>
      <c r="H27">
        <v>3</v>
      </c>
      <c r="I27">
        <v>77</v>
      </c>
      <c r="J27">
        <v>52868.400699999998</v>
      </c>
      <c r="K27" t="s">
        <v>19</v>
      </c>
      <c r="L27" t="str">
        <f>_xlfn.XLOOKUP(tblCategorySales[[#This Row],[SalesPersonID]],tblSalespersonSummary[SalesPersonID],tblSalespersonSummary[SalespersonName],"Not found")</f>
        <v>Shu Ito</v>
      </c>
      <c r="M27" t="str">
        <f>IF(tblCategorySales[[#This Row],[SalespersonName]]=tblCategorySales[[#This Row],[ExpectedSalespersonName]],"Match","Mismatch")</f>
        <v>Match</v>
      </c>
    </row>
    <row r="28" spans="1:13" x14ac:dyDescent="0.3">
      <c r="A28">
        <v>281</v>
      </c>
      <c r="B28" t="s">
        <v>31</v>
      </c>
      <c r="C28" t="s">
        <v>27</v>
      </c>
      <c r="D28">
        <v>2011</v>
      </c>
      <c r="E28">
        <v>2</v>
      </c>
      <c r="F28">
        <v>3</v>
      </c>
      <c r="G28" t="s">
        <v>72</v>
      </c>
      <c r="H28">
        <v>3</v>
      </c>
      <c r="I28">
        <v>35</v>
      </c>
      <c r="J28">
        <v>725.56719999999996</v>
      </c>
      <c r="K28" t="s">
        <v>19</v>
      </c>
      <c r="L28" t="str">
        <f>_xlfn.XLOOKUP(tblCategorySales[[#This Row],[SalesPersonID]],tblSalespersonSummary[SalesPersonID],tblSalespersonSummary[SalespersonName],"Not found")</f>
        <v>Shu Ito</v>
      </c>
      <c r="M28" t="str">
        <f>IF(tblCategorySales[[#This Row],[SalespersonName]]=tblCategorySales[[#This Row],[ExpectedSalespersonName]],"Match","Mismatch")</f>
        <v>Match</v>
      </c>
    </row>
    <row r="29" spans="1:13" x14ac:dyDescent="0.3">
      <c r="A29">
        <v>281</v>
      </c>
      <c r="B29" t="s">
        <v>31</v>
      </c>
      <c r="C29" t="s">
        <v>27</v>
      </c>
      <c r="D29">
        <v>2011</v>
      </c>
      <c r="E29">
        <v>2</v>
      </c>
      <c r="F29">
        <v>2</v>
      </c>
      <c r="G29" t="s">
        <v>73</v>
      </c>
      <c r="H29">
        <v>3</v>
      </c>
      <c r="I29">
        <v>26</v>
      </c>
      <c r="J29">
        <v>5609.6904000000004</v>
      </c>
      <c r="K29" t="s">
        <v>19</v>
      </c>
      <c r="L29" t="str">
        <f>_xlfn.XLOOKUP(tblCategorySales[[#This Row],[SalesPersonID]],tblSalespersonSummary[SalesPersonID],tblSalespersonSummary[SalespersonName],"Not found")</f>
        <v>Shu Ito</v>
      </c>
      <c r="M29" t="str">
        <f>IF(tblCategorySales[[#This Row],[SalespersonName]]=tblCategorySales[[#This Row],[ExpectedSalespersonName]],"Match","Mismatch")</f>
        <v>Match</v>
      </c>
    </row>
    <row r="30" spans="1:13" x14ac:dyDescent="0.3">
      <c r="A30">
        <v>279</v>
      </c>
      <c r="B30" t="s">
        <v>34</v>
      </c>
      <c r="C30" t="s">
        <v>35</v>
      </c>
      <c r="D30">
        <v>2011</v>
      </c>
      <c r="E30">
        <v>2</v>
      </c>
      <c r="F30">
        <v>4</v>
      </c>
      <c r="G30" t="s">
        <v>70</v>
      </c>
      <c r="H30">
        <v>3</v>
      </c>
      <c r="I30">
        <v>16</v>
      </c>
      <c r="J30">
        <v>322.98399999999998</v>
      </c>
      <c r="K30" t="s">
        <v>19</v>
      </c>
      <c r="L30" t="str">
        <f>_xlfn.XLOOKUP(tblCategorySales[[#This Row],[SalesPersonID]],tblSalespersonSummary[SalesPersonID],tblSalespersonSummary[SalespersonName],"Not found")</f>
        <v>Tsvi Reiter</v>
      </c>
      <c r="M30" t="str">
        <f>IF(tblCategorySales[[#This Row],[SalespersonName]]=tblCategorySales[[#This Row],[ExpectedSalespersonName]],"Match","Mismatch")</f>
        <v>Match</v>
      </c>
    </row>
    <row r="31" spans="1:13" x14ac:dyDescent="0.3">
      <c r="A31">
        <v>279</v>
      </c>
      <c r="B31" t="s">
        <v>34</v>
      </c>
      <c r="C31" t="s">
        <v>35</v>
      </c>
      <c r="D31">
        <v>2011</v>
      </c>
      <c r="E31">
        <v>2</v>
      </c>
      <c r="F31">
        <v>1</v>
      </c>
      <c r="G31" t="s">
        <v>71</v>
      </c>
      <c r="H31">
        <v>8</v>
      </c>
      <c r="I31">
        <v>75</v>
      </c>
      <c r="J31">
        <v>98960.6054</v>
      </c>
      <c r="K31" t="s">
        <v>19</v>
      </c>
      <c r="L31" t="str">
        <f>_xlfn.XLOOKUP(tblCategorySales[[#This Row],[SalesPersonID]],tblSalespersonSummary[SalesPersonID],tblSalespersonSummary[SalespersonName],"Not found")</f>
        <v>Tsvi Reiter</v>
      </c>
      <c r="M31" t="str">
        <f>IF(tblCategorySales[[#This Row],[SalespersonName]]=tblCategorySales[[#This Row],[ExpectedSalespersonName]],"Match","Mismatch")</f>
        <v>Match</v>
      </c>
    </row>
    <row r="32" spans="1:13" x14ac:dyDescent="0.3">
      <c r="A32">
        <v>279</v>
      </c>
      <c r="B32" t="s">
        <v>34</v>
      </c>
      <c r="C32" t="s">
        <v>35</v>
      </c>
      <c r="D32">
        <v>2011</v>
      </c>
      <c r="E32">
        <v>2</v>
      </c>
      <c r="F32">
        <v>3</v>
      </c>
      <c r="G32" t="s">
        <v>72</v>
      </c>
      <c r="H32">
        <v>4</v>
      </c>
      <c r="I32">
        <v>32</v>
      </c>
      <c r="J32">
        <v>619.50009999999997</v>
      </c>
      <c r="K32" t="s">
        <v>19</v>
      </c>
      <c r="L32" t="str">
        <f>_xlfn.XLOOKUP(tblCategorySales[[#This Row],[SalesPersonID]],tblSalespersonSummary[SalesPersonID],tblSalespersonSummary[SalespersonName],"Not found")</f>
        <v>Tsvi Reiter</v>
      </c>
      <c r="M32" t="str">
        <f>IF(tblCategorySales[[#This Row],[SalespersonName]]=tblCategorySales[[#This Row],[ExpectedSalespersonName]],"Match","Mismatch")</f>
        <v>Match</v>
      </c>
    </row>
    <row r="33" spans="1:13" x14ac:dyDescent="0.3">
      <c r="A33">
        <v>279</v>
      </c>
      <c r="B33" t="s">
        <v>34</v>
      </c>
      <c r="C33" t="s">
        <v>35</v>
      </c>
      <c r="D33">
        <v>2011</v>
      </c>
      <c r="E33">
        <v>2</v>
      </c>
      <c r="F33">
        <v>2</v>
      </c>
      <c r="G33" t="s">
        <v>73</v>
      </c>
      <c r="H33">
        <v>3</v>
      </c>
      <c r="I33">
        <v>12</v>
      </c>
      <c r="J33">
        <v>4516.2395999999999</v>
      </c>
      <c r="K33" t="s">
        <v>19</v>
      </c>
      <c r="L33" t="str">
        <f>_xlfn.XLOOKUP(tblCategorySales[[#This Row],[SalesPersonID]],tblSalespersonSummary[SalesPersonID],tblSalespersonSummary[SalespersonName],"Not found")</f>
        <v>Tsvi Reiter</v>
      </c>
      <c r="M33" t="str">
        <f>IF(tblCategorySales[[#This Row],[SalespersonName]]=tblCategorySales[[#This Row],[ExpectedSalespersonName]],"Match","Mismatch")</f>
        <v>Match</v>
      </c>
    </row>
    <row r="34" spans="1:13" x14ac:dyDescent="0.3">
      <c r="A34">
        <v>283</v>
      </c>
      <c r="B34" t="s">
        <v>15</v>
      </c>
      <c r="C34" t="s">
        <v>16</v>
      </c>
      <c r="D34">
        <v>2011</v>
      </c>
      <c r="E34">
        <v>3</v>
      </c>
      <c r="F34">
        <v>4</v>
      </c>
      <c r="G34" t="s">
        <v>70</v>
      </c>
      <c r="H34">
        <v>3</v>
      </c>
      <c r="I34">
        <v>18</v>
      </c>
      <c r="J34">
        <v>363.35700000000003</v>
      </c>
      <c r="K34" t="s">
        <v>74</v>
      </c>
      <c r="L34" t="str">
        <f>_xlfn.XLOOKUP(tblCategorySales[[#This Row],[SalesPersonID]],tblSalespersonSummary[SalesPersonID],tblSalespersonSummary[SalespersonName],"Not found")</f>
        <v>David Campbell</v>
      </c>
      <c r="M34" t="str">
        <f>IF(tblCategorySales[[#This Row],[SalespersonName]]=tblCategorySales[[#This Row],[ExpectedSalespersonName]],"Match","Mismatch")</f>
        <v>Match</v>
      </c>
    </row>
    <row r="35" spans="1:13" x14ac:dyDescent="0.3">
      <c r="A35">
        <v>283</v>
      </c>
      <c r="B35" t="s">
        <v>15</v>
      </c>
      <c r="C35" t="s">
        <v>16</v>
      </c>
      <c r="D35">
        <v>2011</v>
      </c>
      <c r="E35">
        <v>3</v>
      </c>
      <c r="F35">
        <v>1</v>
      </c>
      <c r="G35" t="s">
        <v>71</v>
      </c>
      <c r="H35">
        <v>9</v>
      </c>
      <c r="I35">
        <v>131</v>
      </c>
      <c r="J35">
        <v>225021.65330000001</v>
      </c>
      <c r="K35" t="s">
        <v>74</v>
      </c>
      <c r="L35" t="str">
        <f>_xlfn.XLOOKUP(tblCategorySales[[#This Row],[SalesPersonID]],tblSalespersonSummary[SalesPersonID],tblSalespersonSummary[SalespersonName],"Not found")</f>
        <v>David Campbell</v>
      </c>
      <c r="M35" t="str">
        <f>IF(tblCategorySales[[#This Row],[SalespersonName]]=tblCategorySales[[#This Row],[ExpectedSalespersonName]],"Match","Mismatch")</f>
        <v>Match</v>
      </c>
    </row>
    <row r="36" spans="1:13" x14ac:dyDescent="0.3">
      <c r="A36">
        <v>283</v>
      </c>
      <c r="B36" t="s">
        <v>15</v>
      </c>
      <c r="C36" t="s">
        <v>16</v>
      </c>
      <c r="D36">
        <v>2011</v>
      </c>
      <c r="E36">
        <v>3</v>
      </c>
      <c r="F36">
        <v>3</v>
      </c>
      <c r="G36" t="s">
        <v>72</v>
      </c>
      <c r="H36">
        <v>6</v>
      </c>
      <c r="I36">
        <v>59</v>
      </c>
      <c r="J36">
        <v>663.90475000000004</v>
      </c>
      <c r="K36" t="s">
        <v>74</v>
      </c>
      <c r="L36" t="str">
        <f>_xlfn.XLOOKUP(tblCategorySales[[#This Row],[SalesPersonID]],tblSalespersonSummary[SalesPersonID],tblSalespersonSummary[SalespersonName],"Not found")</f>
        <v>David Campbell</v>
      </c>
      <c r="M36" t="str">
        <f>IF(tblCategorySales[[#This Row],[SalespersonName]]=tblCategorySales[[#This Row],[ExpectedSalespersonName]],"Match","Mismatch")</f>
        <v>Match</v>
      </c>
    </row>
    <row r="37" spans="1:13" x14ac:dyDescent="0.3">
      <c r="A37">
        <v>283</v>
      </c>
      <c r="B37" t="s">
        <v>15</v>
      </c>
      <c r="C37" t="s">
        <v>16</v>
      </c>
      <c r="D37">
        <v>2011</v>
      </c>
      <c r="E37">
        <v>3</v>
      </c>
      <c r="F37">
        <v>2</v>
      </c>
      <c r="G37" t="s">
        <v>73</v>
      </c>
      <c r="H37">
        <v>4</v>
      </c>
      <c r="I37">
        <v>25</v>
      </c>
      <c r="J37">
        <v>14674.1415</v>
      </c>
      <c r="K37" t="s">
        <v>74</v>
      </c>
      <c r="L37" t="str">
        <f>_xlfn.XLOOKUP(tblCategorySales[[#This Row],[SalesPersonID]],tblSalespersonSummary[SalesPersonID],tblSalespersonSummary[SalespersonName],"Not found")</f>
        <v>David Campbell</v>
      </c>
      <c r="M37" t="str">
        <f>IF(tblCategorySales[[#This Row],[SalespersonName]]=tblCategorySales[[#This Row],[ExpectedSalespersonName]],"Match","Mismatch")</f>
        <v>Match</v>
      </c>
    </row>
    <row r="38" spans="1:13" x14ac:dyDescent="0.3">
      <c r="A38">
        <v>278</v>
      </c>
      <c r="B38" t="s">
        <v>21</v>
      </c>
      <c r="C38" t="s">
        <v>22</v>
      </c>
      <c r="D38">
        <v>2011</v>
      </c>
      <c r="E38">
        <v>3</v>
      </c>
      <c r="F38">
        <v>4</v>
      </c>
      <c r="G38" t="s">
        <v>70</v>
      </c>
      <c r="H38">
        <v>2</v>
      </c>
      <c r="I38">
        <v>26</v>
      </c>
      <c r="J38">
        <v>524.84900000000005</v>
      </c>
      <c r="K38" t="s">
        <v>74</v>
      </c>
      <c r="L38" t="str">
        <f>_xlfn.XLOOKUP(tblCategorySales[[#This Row],[SalesPersonID]],tblSalespersonSummary[SalesPersonID],tblSalespersonSummary[SalespersonName],"Not found")</f>
        <v>Garrett Vargas</v>
      </c>
      <c r="M38" t="str">
        <f>IF(tblCategorySales[[#This Row],[SalespersonName]]=tblCategorySales[[#This Row],[ExpectedSalespersonName]],"Match","Mismatch")</f>
        <v>Match</v>
      </c>
    </row>
    <row r="39" spans="1:13" x14ac:dyDescent="0.3">
      <c r="A39">
        <v>278</v>
      </c>
      <c r="B39" t="s">
        <v>21</v>
      </c>
      <c r="C39" t="s">
        <v>22</v>
      </c>
      <c r="D39">
        <v>2011</v>
      </c>
      <c r="E39">
        <v>3</v>
      </c>
      <c r="F39">
        <v>1</v>
      </c>
      <c r="G39" t="s">
        <v>71</v>
      </c>
      <c r="H39">
        <v>12</v>
      </c>
      <c r="I39">
        <v>216</v>
      </c>
      <c r="J39">
        <v>217712.40628</v>
      </c>
      <c r="K39" t="s">
        <v>74</v>
      </c>
      <c r="L39" t="str">
        <f>_xlfn.XLOOKUP(tblCategorySales[[#This Row],[SalesPersonID]],tblSalespersonSummary[SalesPersonID],tblSalespersonSummary[SalespersonName],"Not found")</f>
        <v>Garrett Vargas</v>
      </c>
      <c r="M39" t="str">
        <f>IF(tblCategorySales[[#This Row],[SalespersonName]]=tblCategorySales[[#This Row],[ExpectedSalespersonName]],"Match","Mismatch")</f>
        <v>Match</v>
      </c>
    </row>
    <row r="40" spans="1:13" x14ac:dyDescent="0.3">
      <c r="A40">
        <v>278</v>
      </c>
      <c r="B40" t="s">
        <v>21</v>
      </c>
      <c r="C40" t="s">
        <v>22</v>
      </c>
      <c r="D40">
        <v>2011</v>
      </c>
      <c r="E40">
        <v>3</v>
      </c>
      <c r="F40">
        <v>3</v>
      </c>
      <c r="G40" t="s">
        <v>72</v>
      </c>
      <c r="H40">
        <v>9</v>
      </c>
      <c r="I40">
        <v>49</v>
      </c>
      <c r="J40">
        <v>925.44682</v>
      </c>
      <c r="K40" t="s">
        <v>74</v>
      </c>
      <c r="L40" t="str">
        <f>_xlfn.XLOOKUP(tblCategorySales[[#This Row],[SalesPersonID]],tblSalespersonSummary[SalesPersonID],tblSalespersonSummary[SalespersonName],"Not found")</f>
        <v>Garrett Vargas</v>
      </c>
      <c r="M40" t="str">
        <f>IF(tblCategorySales[[#This Row],[SalespersonName]]=tblCategorySales[[#This Row],[ExpectedSalespersonName]],"Match","Mismatch")</f>
        <v>Match</v>
      </c>
    </row>
    <row r="41" spans="1:13" x14ac:dyDescent="0.3">
      <c r="A41">
        <v>278</v>
      </c>
      <c r="B41" t="s">
        <v>21</v>
      </c>
      <c r="C41" t="s">
        <v>22</v>
      </c>
      <c r="D41">
        <v>2011</v>
      </c>
      <c r="E41">
        <v>3</v>
      </c>
      <c r="F41">
        <v>2</v>
      </c>
      <c r="G41" t="s">
        <v>73</v>
      </c>
      <c r="H41">
        <v>6</v>
      </c>
      <c r="I41">
        <v>48</v>
      </c>
      <c r="J41">
        <v>14532.9643</v>
      </c>
      <c r="K41" t="s">
        <v>74</v>
      </c>
      <c r="L41" t="str">
        <f>_xlfn.XLOOKUP(tblCategorySales[[#This Row],[SalesPersonID]],tblSalespersonSummary[SalesPersonID],tblSalespersonSummary[SalespersonName],"Not found")</f>
        <v>Garrett Vargas</v>
      </c>
      <c r="M41" t="str">
        <f>IF(tblCategorySales[[#This Row],[SalespersonName]]=tblCategorySales[[#This Row],[ExpectedSalespersonName]],"Match","Mismatch")</f>
        <v>Match</v>
      </c>
    </row>
    <row r="42" spans="1:13" x14ac:dyDescent="0.3">
      <c r="A42">
        <v>277</v>
      </c>
      <c r="B42" t="s">
        <v>23</v>
      </c>
      <c r="C42" t="s">
        <v>24</v>
      </c>
      <c r="D42">
        <v>2011</v>
      </c>
      <c r="E42">
        <v>3</v>
      </c>
      <c r="F42">
        <v>4</v>
      </c>
      <c r="G42" t="s">
        <v>70</v>
      </c>
      <c r="H42">
        <v>12</v>
      </c>
      <c r="I42">
        <v>78</v>
      </c>
      <c r="J42">
        <v>1574.547</v>
      </c>
      <c r="K42" t="s">
        <v>74</v>
      </c>
      <c r="L42" t="str">
        <f>_xlfn.XLOOKUP(tblCategorySales[[#This Row],[SalesPersonID]],tblSalespersonSummary[SalesPersonID],tblSalespersonSummary[SalespersonName],"Not found")</f>
        <v>Jillian Carson</v>
      </c>
      <c r="M42" t="str">
        <f>IF(tblCategorySales[[#This Row],[SalespersonName]]=tblCategorySales[[#This Row],[ExpectedSalespersonName]],"Match","Mismatch")</f>
        <v>Match</v>
      </c>
    </row>
    <row r="43" spans="1:13" x14ac:dyDescent="0.3">
      <c r="A43">
        <v>277</v>
      </c>
      <c r="B43" t="s">
        <v>23</v>
      </c>
      <c r="C43" t="s">
        <v>24</v>
      </c>
      <c r="D43">
        <v>2011</v>
      </c>
      <c r="E43">
        <v>3</v>
      </c>
      <c r="F43">
        <v>1</v>
      </c>
      <c r="G43" t="s">
        <v>71</v>
      </c>
      <c r="H43">
        <v>26</v>
      </c>
      <c r="I43">
        <v>428</v>
      </c>
      <c r="J43">
        <v>461174.316024</v>
      </c>
      <c r="K43" t="s">
        <v>74</v>
      </c>
      <c r="L43" t="str">
        <f>_xlfn.XLOOKUP(tblCategorySales[[#This Row],[SalesPersonID]],tblSalespersonSummary[SalesPersonID],tblSalespersonSummary[SalespersonName],"Not found")</f>
        <v>Jillian Carson</v>
      </c>
      <c r="M43" t="str">
        <f>IF(tblCategorySales[[#This Row],[SalespersonName]]=tblCategorySales[[#This Row],[ExpectedSalespersonName]],"Match","Mismatch")</f>
        <v>Match</v>
      </c>
    </row>
    <row r="44" spans="1:13" x14ac:dyDescent="0.3">
      <c r="A44">
        <v>277</v>
      </c>
      <c r="B44" t="s">
        <v>23</v>
      </c>
      <c r="C44" t="s">
        <v>24</v>
      </c>
      <c r="D44">
        <v>2011</v>
      </c>
      <c r="E44">
        <v>3</v>
      </c>
      <c r="F44">
        <v>3</v>
      </c>
      <c r="G44" t="s">
        <v>72</v>
      </c>
      <c r="H44">
        <v>22</v>
      </c>
      <c r="I44">
        <v>225</v>
      </c>
      <c r="J44">
        <v>3676.7420499999998</v>
      </c>
      <c r="K44" t="s">
        <v>74</v>
      </c>
      <c r="L44" t="str">
        <f>_xlfn.XLOOKUP(tblCategorySales[[#This Row],[SalesPersonID]],tblSalespersonSummary[SalesPersonID],tblSalespersonSummary[SalespersonName],"Not found")</f>
        <v>Jillian Carson</v>
      </c>
      <c r="M44" t="str">
        <f>IF(tblCategorySales[[#This Row],[SalespersonName]]=tblCategorySales[[#This Row],[ExpectedSalespersonName]],"Match","Mismatch")</f>
        <v>Match</v>
      </c>
    </row>
    <row r="45" spans="1:13" x14ac:dyDescent="0.3">
      <c r="A45">
        <v>277</v>
      </c>
      <c r="B45" t="s">
        <v>23</v>
      </c>
      <c r="C45" t="s">
        <v>24</v>
      </c>
      <c r="D45">
        <v>2011</v>
      </c>
      <c r="E45">
        <v>3</v>
      </c>
      <c r="F45">
        <v>2</v>
      </c>
      <c r="G45" t="s">
        <v>73</v>
      </c>
      <c r="H45">
        <v>15</v>
      </c>
      <c r="I45">
        <v>111</v>
      </c>
      <c r="J45">
        <v>35325.174500000001</v>
      </c>
      <c r="K45" t="s">
        <v>74</v>
      </c>
      <c r="L45" t="str">
        <f>_xlfn.XLOOKUP(tblCategorySales[[#This Row],[SalesPersonID]],tblSalespersonSummary[SalesPersonID],tblSalespersonSummary[SalespersonName],"Not found")</f>
        <v>Jillian Carson</v>
      </c>
      <c r="M45" t="str">
        <f>IF(tblCategorySales[[#This Row],[SalespersonName]]=tblCategorySales[[#This Row],[ExpectedSalespersonName]],"Match","Mismatch")</f>
        <v>Match</v>
      </c>
    </row>
    <row r="46" spans="1:13" x14ac:dyDescent="0.3">
      <c r="A46">
        <v>282</v>
      </c>
      <c r="B46" t="s">
        <v>25</v>
      </c>
      <c r="C46" t="s">
        <v>22</v>
      </c>
      <c r="D46">
        <v>2011</v>
      </c>
      <c r="E46">
        <v>3</v>
      </c>
      <c r="F46">
        <v>4</v>
      </c>
      <c r="G46" t="s">
        <v>70</v>
      </c>
      <c r="H46">
        <v>11</v>
      </c>
      <c r="I46">
        <v>87</v>
      </c>
      <c r="J46">
        <v>1756.2255</v>
      </c>
      <c r="K46" t="s">
        <v>74</v>
      </c>
      <c r="L46" t="str">
        <f>_xlfn.XLOOKUP(tblCategorySales[[#This Row],[SalesPersonID]],tblSalespersonSummary[SalesPersonID],tblSalespersonSummary[SalespersonName],"Not found")</f>
        <v>José Saraiva</v>
      </c>
      <c r="M46" t="str">
        <f>IF(tblCategorySales[[#This Row],[SalespersonName]]=tblCategorySales[[#This Row],[ExpectedSalespersonName]],"Match","Mismatch")</f>
        <v>Match</v>
      </c>
    </row>
    <row r="47" spans="1:13" x14ac:dyDescent="0.3">
      <c r="A47">
        <v>282</v>
      </c>
      <c r="B47" t="s">
        <v>25</v>
      </c>
      <c r="C47" t="s">
        <v>22</v>
      </c>
      <c r="D47">
        <v>2011</v>
      </c>
      <c r="E47">
        <v>3</v>
      </c>
      <c r="F47">
        <v>1</v>
      </c>
      <c r="G47" t="s">
        <v>71</v>
      </c>
      <c r="H47">
        <v>26</v>
      </c>
      <c r="I47">
        <v>416</v>
      </c>
      <c r="J47">
        <v>466795.55531999998</v>
      </c>
      <c r="K47" t="s">
        <v>74</v>
      </c>
      <c r="L47" t="str">
        <f>_xlfn.XLOOKUP(tblCategorySales[[#This Row],[SalesPersonID]],tblSalespersonSummary[SalesPersonID],tblSalespersonSummary[SalespersonName],"Not found")</f>
        <v>José Saraiva</v>
      </c>
      <c r="M47" t="str">
        <f>IF(tblCategorySales[[#This Row],[SalespersonName]]=tblCategorySales[[#This Row],[ExpectedSalespersonName]],"Match","Mismatch")</f>
        <v>Match</v>
      </c>
    </row>
    <row r="48" spans="1:13" x14ac:dyDescent="0.3">
      <c r="A48">
        <v>282</v>
      </c>
      <c r="B48" t="s">
        <v>25</v>
      </c>
      <c r="C48" t="s">
        <v>22</v>
      </c>
      <c r="D48">
        <v>2011</v>
      </c>
      <c r="E48">
        <v>3</v>
      </c>
      <c r="F48">
        <v>3</v>
      </c>
      <c r="G48" t="s">
        <v>72</v>
      </c>
      <c r="H48">
        <v>14</v>
      </c>
      <c r="I48">
        <v>149</v>
      </c>
      <c r="J48">
        <v>2289.3473640000002</v>
      </c>
      <c r="K48" t="s">
        <v>74</v>
      </c>
      <c r="L48" t="str">
        <f>_xlfn.XLOOKUP(tblCategorySales[[#This Row],[SalesPersonID]],tblSalespersonSummary[SalesPersonID],tblSalespersonSummary[SalespersonName],"Not found")</f>
        <v>José Saraiva</v>
      </c>
      <c r="M48" t="str">
        <f>IF(tblCategorySales[[#This Row],[SalespersonName]]=tblCategorySales[[#This Row],[ExpectedSalespersonName]],"Match","Mismatch")</f>
        <v>Match</v>
      </c>
    </row>
    <row r="49" spans="1:13" x14ac:dyDescent="0.3">
      <c r="A49">
        <v>282</v>
      </c>
      <c r="B49" t="s">
        <v>25</v>
      </c>
      <c r="C49" t="s">
        <v>22</v>
      </c>
      <c r="D49">
        <v>2011</v>
      </c>
      <c r="E49">
        <v>3</v>
      </c>
      <c r="F49">
        <v>2</v>
      </c>
      <c r="G49" t="s">
        <v>73</v>
      </c>
      <c r="H49">
        <v>13</v>
      </c>
      <c r="I49">
        <v>138</v>
      </c>
      <c r="J49">
        <v>50952.411399999997</v>
      </c>
      <c r="K49" t="s">
        <v>74</v>
      </c>
      <c r="L49" t="str">
        <f>_xlfn.XLOOKUP(tblCategorySales[[#This Row],[SalesPersonID]],tblSalespersonSummary[SalesPersonID],tblSalespersonSummary[SalespersonName],"Not found")</f>
        <v>José Saraiva</v>
      </c>
      <c r="M49" t="str">
        <f>IF(tblCategorySales[[#This Row],[SalespersonName]]=tblCategorySales[[#This Row],[ExpectedSalespersonName]],"Match","Mismatch")</f>
        <v>Match</v>
      </c>
    </row>
    <row r="50" spans="1:13" x14ac:dyDescent="0.3">
      <c r="A50">
        <v>276</v>
      </c>
      <c r="B50" t="s">
        <v>26</v>
      </c>
      <c r="C50" t="s">
        <v>27</v>
      </c>
      <c r="D50">
        <v>2011</v>
      </c>
      <c r="E50">
        <v>3</v>
      </c>
      <c r="F50">
        <v>4</v>
      </c>
      <c r="G50" t="s">
        <v>70</v>
      </c>
      <c r="H50">
        <v>8</v>
      </c>
      <c r="I50">
        <v>52</v>
      </c>
      <c r="J50">
        <v>1049.6980000000001</v>
      </c>
      <c r="K50" t="s">
        <v>74</v>
      </c>
      <c r="L50" t="str">
        <f>_xlfn.XLOOKUP(tblCategorySales[[#This Row],[SalesPersonID]],tblSalespersonSummary[SalesPersonID],tblSalespersonSummary[SalespersonName],"Not found")</f>
        <v>Linda Mitchell</v>
      </c>
      <c r="M50" t="str">
        <f>IF(tblCategorySales[[#This Row],[SalespersonName]]=tblCategorySales[[#This Row],[ExpectedSalespersonName]],"Match","Mismatch")</f>
        <v>Match</v>
      </c>
    </row>
    <row r="51" spans="1:13" x14ac:dyDescent="0.3">
      <c r="A51">
        <v>276</v>
      </c>
      <c r="B51" t="s">
        <v>26</v>
      </c>
      <c r="C51" t="s">
        <v>27</v>
      </c>
      <c r="D51">
        <v>2011</v>
      </c>
      <c r="E51">
        <v>3</v>
      </c>
      <c r="F51">
        <v>1</v>
      </c>
      <c r="G51" t="s">
        <v>71</v>
      </c>
      <c r="H51">
        <v>17</v>
      </c>
      <c r="I51">
        <v>275</v>
      </c>
      <c r="J51">
        <v>416594.34539999999</v>
      </c>
      <c r="K51" t="s">
        <v>74</v>
      </c>
      <c r="L51" t="str">
        <f>_xlfn.XLOOKUP(tblCategorySales[[#This Row],[SalesPersonID]],tblSalespersonSummary[SalesPersonID],tblSalespersonSummary[SalespersonName],"Not found")</f>
        <v>Linda Mitchell</v>
      </c>
      <c r="M51" t="str">
        <f>IF(tblCategorySales[[#This Row],[SalespersonName]]=tblCategorySales[[#This Row],[ExpectedSalespersonName]],"Match","Mismatch")</f>
        <v>Match</v>
      </c>
    </row>
    <row r="52" spans="1:13" x14ac:dyDescent="0.3">
      <c r="A52">
        <v>276</v>
      </c>
      <c r="B52" t="s">
        <v>26</v>
      </c>
      <c r="C52" t="s">
        <v>27</v>
      </c>
      <c r="D52">
        <v>2011</v>
      </c>
      <c r="E52">
        <v>3</v>
      </c>
      <c r="F52">
        <v>3</v>
      </c>
      <c r="G52" t="s">
        <v>72</v>
      </c>
      <c r="H52">
        <v>12</v>
      </c>
      <c r="I52">
        <v>102</v>
      </c>
      <c r="J52">
        <v>1778.0253</v>
      </c>
      <c r="K52" t="s">
        <v>74</v>
      </c>
      <c r="L52" t="str">
        <f>_xlfn.XLOOKUP(tblCategorySales[[#This Row],[SalesPersonID]],tblSalespersonSummary[SalesPersonID],tblSalespersonSummary[SalespersonName],"Not found")</f>
        <v>Linda Mitchell</v>
      </c>
      <c r="M52" t="str">
        <f>IF(tblCategorySales[[#This Row],[SalespersonName]]=tblCategorySales[[#This Row],[ExpectedSalespersonName]],"Match","Mismatch")</f>
        <v>Match</v>
      </c>
    </row>
    <row r="53" spans="1:13" x14ac:dyDescent="0.3">
      <c r="A53">
        <v>276</v>
      </c>
      <c r="B53" t="s">
        <v>26</v>
      </c>
      <c r="C53" t="s">
        <v>27</v>
      </c>
      <c r="D53">
        <v>2011</v>
      </c>
      <c r="E53">
        <v>3</v>
      </c>
      <c r="F53">
        <v>2</v>
      </c>
      <c r="G53" t="s">
        <v>73</v>
      </c>
      <c r="H53">
        <v>10</v>
      </c>
      <c r="I53">
        <v>81</v>
      </c>
      <c r="J53">
        <v>40117.288</v>
      </c>
      <c r="K53" t="s">
        <v>74</v>
      </c>
      <c r="L53" t="str">
        <f>_xlfn.XLOOKUP(tblCategorySales[[#This Row],[SalesPersonID]],tblSalespersonSummary[SalesPersonID],tblSalespersonSummary[SalespersonName],"Not found")</f>
        <v>Linda Mitchell</v>
      </c>
      <c r="M53" t="str">
        <f>IF(tblCategorySales[[#This Row],[SalespersonName]]=tblCategorySales[[#This Row],[ExpectedSalespersonName]],"Match","Mismatch")</f>
        <v>Match</v>
      </c>
    </row>
    <row r="54" spans="1:13" x14ac:dyDescent="0.3">
      <c r="A54">
        <v>275</v>
      </c>
      <c r="B54" t="s">
        <v>28</v>
      </c>
      <c r="C54" t="s">
        <v>29</v>
      </c>
      <c r="D54">
        <v>2011</v>
      </c>
      <c r="E54">
        <v>3</v>
      </c>
      <c r="F54">
        <v>4</v>
      </c>
      <c r="G54" t="s">
        <v>70</v>
      </c>
      <c r="H54">
        <v>5</v>
      </c>
      <c r="I54">
        <v>29</v>
      </c>
      <c r="J54">
        <v>585.4085</v>
      </c>
      <c r="K54" t="s">
        <v>74</v>
      </c>
      <c r="L54" t="str">
        <f>_xlfn.XLOOKUP(tblCategorySales[[#This Row],[SalesPersonID]],tblSalespersonSummary[SalesPersonID],tblSalespersonSummary[SalespersonName],"Not found")</f>
        <v>Michael Blythe</v>
      </c>
      <c r="M54" t="str">
        <f>IF(tblCategorySales[[#This Row],[SalespersonName]]=tblCategorySales[[#This Row],[ExpectedSalespersonName]],"Match","Mismatch")</f>
        <v>Match</v>
      </c>
    </row>
    <row r="55" spans="1:13" x14ac:dyDescent="0.3">
      <c r="A55">
        <v>275</v>
      </c>
      <c r="B55" t="s">
        <v>28</v>
      </c>
      <c r="C55" t="s">
        <v>29</v>
      </c>
      <c r="D55">
        <v>2011</v>
      </c>
      <c r="E55">
        <v>3</v>
      </c>
      <c r="F55">
        <v>1</v>
      </c>
      <c r="G55" t="s">
        <v>71</v>
      </c>
      <c r="H55">
        <v>26</v>
      </c>
      <c r="I55">
        <v>375</v>
      </c>
      <c r="J55">
        <v>323941.03600000002</v>
      </c>
      <c r="K55" t="s">
        <v>74</v>
      </c>
      <c r="L55" t="str">
        <f>_xlfn.XLOOKUP(tblCategorySales[[#This Row],[SalesPersonID]],tblSalespersonSummary[SalesPersonID],tblSalespersonSummary[SalespersonName],"Not found")</f>
        <v>Michael Blythe</v>
      </c>
      <c r="M55" t="str">
        <f>IF(tblCategorySales[[#This Row],[SalespersonName]]=tblCategorySales[[#This Row],[ExpectedSalespersonName]],"Match","Mismatch")</f>
        <v>Match</v>
      </c>
    </row>
    <row r="56" spans="1:13" x14ac:dyDescent="0.3">
      <c r="A56">
        <v>275</v>
      </c>
      <c r="B56" t="s">
        <v>28</v>
      </c>
      <c r="C56" t="s">
        <v>29</v>
      </c>
      <c r="D56">
        <v>2011</v>
      </c>
      <c r="E56">
        <v>3</v>
      </c>
      <c r="F56">
        <v>3</v>
      </c>
      <c r="G56" t="s">
        <v>72</v>
      </c>
      <c r="H56">
        <v>19</v>
      </c>
      <c r="I56">
        <v>93</v>
      </c>
      <c r="J56">
        <v>1462.2031999999999</v>
      </c>
      <c r="K56" t="s">
        <v>74</v>
      </c>
      <c r="L56" t="str">
        <f>_xlfn.XLOOKUP(tblCategorySales[[#This Row],[SalesPersonID]],tblSalespersonSummary[SalesPersonID],tblSalespersonSummary[SalespersonName],"Not found")</f>
        <v>Michael Blythe</v>
      </c>
      <c r="M56" t="str">
        <f>IF(tblCategorySales[[#This Row],[SalespersonName]]=tblCategorySales[[#This Row],[ExpectedSalespersonName]],"Match","Mismatch")</f>
        <v>Match</v>
      </c>
    </row>
    <row r="57" spans="1:13" x14ac:dyDescent="0.3">
      <c r="A57">
        <v>275</v>
      </c>
      <c r="B57" t="s">
        <v>28</v>
      </c>
      <c r="C57" t="s">
        <v>29</v>
      </c>
      <c r="D57">
        <v>2011</v>
      </c>
      <c r="E57">
        <v>3</v>
      </c>
      <c r="F57">
        <v>2</v>
      </c>
      <c r="G57" t="s">
        <v>73</v>
      </c>
      <c r="H57">
        <v>14</v>
      </c>
      <c r="I57">
        <v>89</v>
      </c>
      <c r="J57">
        <v>22818.657599999999</v>
      </c>
      <c r="K57" t="s">
        <v>74</v>
      </c>
      <c r="L57" t="str">
        <f>_xlfn.XLOOKUP(tblCategorySales[[#This Row],[SalesPersonID]],tblSalespersonSummary[SalesPersonID],tblSalespersonSummary[SalespersonName],"Not found")</f>
        <v>Michael Blythe</v>
      </c>
      <c r="M57" t="str">
        <f>IF(tblCategorySales[[#This Row],[SalespersonName]]=tblCategorySales[[#This Row],[ExpectedSalespersonName]],"Match","Mismatch")</f>
        <v>Match</v>
      </c>
    </row>
    <row r="58" spans="1:13" x14ac:dyDescent="0.3">
      <c r="A58">
        <v>280</v>
      </c>
      <c r="B58" t="s">
        <v>30</v>
      </c>
      <c r="C58" t="s">
        <v>16</v>
      </c>
      <c r="D58">
        <v>2011</v>
      </c>
      <c r="E58">
        <v>3</v>
      </c>
      <c r="F58">
        <v>4</v>
      </c>
      <c r="G58" t="s">
        <v>70</v>
      </c>
      <c r="H58">
        <v>5</v>
      </c>
      <c r="I58">
        <v>27</v>
      </c>
      <c r="J58">
        <v>545.03549999999996</v>
      </c>
      <c r="K58" t="s">
        <v>74</v>
      </c>
      <c r="L58" t="str">
        <f>_xlfn.XLOOKUP(tblCategorySales[[#This Row],[SalesPersonID]],tblSalespersonSummary[SalesPersonID],tblSalespersonSummary[SalespersonName],"Not found")</f>
        <v>Pamela Ansman-Wolfe</v>
      </c>
      <c r="M58" t="str">
        <f>IF(tblCategorySales[[#This Row],[SalespersonName]]=tblCategorySales[[#This Row],[ExpectedSalespersonName]],"Match","Mismatch")</f>
        <v>Match</v>
      </c>
    </row>
    <row r="59" spans="1:13" x14ac:dyDescent="0.3">
      <c r="A59">
        <v>280</v>
      </c>
      <c r="B59" t="s">
        <v>30</v>
      </c>
      <c r="C59" t="s">
        <v>16</v>
      </c>
      <c r="D59">
        <v>2011</v>
      </c>
      <c r="E59">
        <v>3</v>
      </c>
      <c r="F59">
        <v>1</v>
      </c>
      <c r="G59" t="s">
        <v>71</v>
      </c>
      <c r="H59">
        <v>9</v>
      </c>
      <c r="I59">
        <v>138</v>
      </c>
      <c r="J59">
        <v>203167.5111</v>
      </c>
      <c r="K59" t="s">
        <v>74</v>
      </c>
      <c r="L59" t="str">
        <f>_xlfn.XLOOKUP(tblCategorySales[[#This Row],[SalesPersonID]],tblSalespersonSummary[SalesPersonID],tblSalespersonSummary[SalespersonName],"Not found")</f>
        <v>Pamela Ansman-Wolfe</v>
      </c>
      <c r="M59" t="str">
        <f>IF(tblCategorySales[[#This Row],[SalespersonName]]=tblCategorySales[[#This Row],[ExpectedSalespersonName]],"Match","Mismatch")</f>
        <v>Match</v>
      </c>
    </row>
    <row r="60" spans="1:13" x14ac:dyDescent="0.3">
      <c r="A60">
        <v>280</v>
      </c>
      <c r="B60" t="s">
        <v>30</v>
      </c>
      <c r="C60" t="s">
        <v>16</v>
      </c>
      <c r="D60">
        <v>2011</v>
      </c>
      <c r="E60">
        <v>3</v>
      </c>
      <c r="F60">
        <v>3</v>
      </c>
      <c r="G60" t="s">
        <v>72</v>
      </c>
      <c r="H60">
        <v>8</v>
      </c>
      <c r="I60">
        <v>72</v>
      </c>
      <c r="J60">
        <v>886.07050000000004</v>
      </c>
      <c r="K60" t="s">
        <v>74</v>
      </c>
      <c r="L60" t="str">
        <f>_xlfn.XLOOKUP(tblCategorySales[[#This Row],[SalesPersonID]],tblSalespersonSummary[SalesPersonID],tblSalespersonSummary[SalespersonName],"Not found")</f>
        <v>Pamela Ansman-Wolfe</v>
      </c>
      <c r="M60" t="str">
        <f>IF(tblCategorySales[[#This Row],[SalespersonName]]=tblCategorySales[[#This Row],[ExpectedSalespersonName]],"Match","Mismatch")</f>
        <v>Match</v>
      </c>
    </row>
    <row r="61" spans="1:13" x14ac:dyDescent="0.3">
      <c r="A61">
        <v>280</v>
      </c>
      <c r="B61" t="s">
        <v>30</v>
      </c>
      <c r="C61" t="s">
        <v>16</v>
      </c>
      <c r="D61">
        <v>2011</v>
      </c>
      <c r="E61">
        <v>3</v>
      </c>
      <c r="F61">
        <v>2</v>
      </c>
      <c r="G61" t="s">
        <v>73</v>
      </c>
      <c r="H61">
        <v>6</v>
      </c>
      <c r="I61">
        <v>41</v>
      </c>
      <c r="J61">
        <v>20037.003799999999</v>
      </c>
      <c r="K61" t="s">
        <v>74</v>
      </c>
      <c r="L61" t="str">
        <f>_xlfn.XLOOKUP(tblCategorySales[[#This Row],[SalesPersonID]],tblSalespersonSummary[SalesPersonID],tblSalespersonSummary[SalespersonName],"Not found")</f>
        <v>Pamela Ansman-Wolfe</v>
      </c>
      <c r="M61" t="str">
        <f>IF(tblCategorySales[[#This Row],[SalespersonName]]=tblCategorySales[[#This Row],[ExpectedSalespersonName]],"Match","Mismatch")</f>
        <v>Match</v>
      </c>
    </row>
    <row r="62" spans="1:13" x14ac:dyDescent="0.3">
      <c r="A62">
        <v>281</v>
      </c>
      <c r="B62" t="s">
        <v>31</v>
      </c>
      <c r="C62" t="s">
        <v>27</v>
      </c>
      <c r="D62">
        <v>2011</v>
      </c>
      <c r="E62">
        <v>3</v>
      </c>
      <c r="F62">
        <v>4</v>
      </c>
      <c r="G62" t="s">
        <v>70</v>
      </c>
      <c r="H62">
        <v>9</v>
      </c>
      <c r="I62">
        <v>63</v>
      </c>
      <c r="J62">
        <v>1271.7494999999999</v>
      </c>
      <c r="K62" t="s">
        <v>74</v>
      </c>
      <c r="L62" t="str">
        <f>_xlfn.XLOOKUP(tblCategorySales[[#This Row],[SalesPersonID]],tblSalespersonSummary[SalesPersonID],tblSalespersonSummary[SalespersonName],"Not found")</f>
        <v>Shu Ito</v>
      </c>
      <c r="M62" t="str">
        <f>IF(tblCategorySales[[#This Row],[SalespersonName]]=tblCategorySales[[#This Row],[ExpectedSalespersonName]],"Match","Mismatch")</f>
        <v>Match</v>
      </c>
    </row>
    <row r="63" spans="1:13" x14ac:dyDescent="0.3">
      <c r="A63">
        <v>281</v>
      </c>
      <c r="B63" t="s">
        <v>31</v>
      </c>
      <c r="C63" t="s">
        <v>27</v>
      </c>
      <c r="D63">
        <v>2011</v>
      </c>
      <c r="E63">
        <v>3</v>
      </c>
      <c r="F63">
        <v>1</v>
      </c>
      <c r="G63" t="s">
        <v>71</v>
      </c>
      <c r="H63">
        <v>15</v>
      </c>
      <c r="I63">
        <v>280</v>
      </c>
      <c r="J63">
        <v>375576.21537599998</v>
      </c>
      <c r="K63" t="s">
        <v>74</v>
      </c>
      <c r="L63" t="str">
        <f>_xlfn.XLOOKUP(tblCategorySales[[#This Row],[SalesPersonID]],tblSalespersonSummary[SalesPersonID],tblSalespersonSummary[SalespersonName],"Not found")</f>
        <v>Shu Ito</v>
      </c>
      <c r="M63" t="str">
        <f>IF(tblCategorySales[[#This Row],[SalespersonName]]=tblCategorySales[[#This Row],[ExpectedSalespersonName]],"Match","Mismatch")</f>
        <v>Match</v>
      </c>
    </row>
    <row r="64" spans="1:13" x14ac:dyDescent="0.3">
      <c r="A64">
        <v>281</v>
      </c>
      <c r="B64" t="s">
        <v>31</v>
      </c>
      <c r="C64" t="s">
        <v>27</v>
      </c>
      <c r="D64">
        <v>2011</v>
      </c>
      <c r="E64">
        <v>3</v>
      </c>
      <c r="F64">
        <v>3</v>
      </c>
      <c r="G64" t="s">
        <v>72</v>
      </c>
      <c r="H64">
        <v>11</v>
      </c>
      <c r="I64">
        <v>99</v>
      </c>
      <c r="J64">
        <v>1683.2881</v>
      </c>
      <c r="K64" t="s">
        <v>74</v>
      </c>
      <c r="L64" t="str">
        <f>_xlfn.XLOOKUP(tblCategorySales[[#This Row],[SalesPersonID]],tblSalespersonSummary[SalesPersonID],tblSalespersonSummary[SalespersonName],"Not found")</f>
        <v>Shu Ito</v>
      </c>
      <c r="M64" t="str">
        <f>IF(tblCategorySales[[#This Row],[SalespersonName]]=tblCategorySales[[#This Row],[ExpectedSalespersonName]],"Match","Mismatch")</f>
        <v>Match</v>
      </c>
    </row>
    <row r="65" spans="1:13" x14ac:dyDescent="0.3">
      <c r="A65">
        <v>281</v>
      </c>
      <c r="B65" t="s">
        <v>31</v>
      </c>
      <c r="C65" t="s">
        <v>27</v>
      </c>
      <c r="D65">
        <v>2011</v>
      </c>
      <c r="E65">
        <v>3</v>
      </c>
      <c r="F65">
        <v>2</v>
      </c>
      <c r="G65" t="s">
        <v>73</v>
      </c>
      <c r="H65">
        <v>9</v>
      </c>
      <c r="I65">
        <v>79</v>
      </c>
      <c r="J65">
        <v>37631.919600000001</v>
      </c>
      <c r="K65" t="s">
        <v>74</v>
      </c>
      <c r="L65" t="str">
        <f>_xlfn.XLOOKUP(tblCategorySales[[#This Row],[SalesPersonID]],tblSalespersonSummary[SalesPersonID],tblSalespersonSummary[SalespersonName],"Not found")</f>
        <v>Shu Ito</v>
      </c>
      <c r="M65" t="str">
        <f>IF(tblCategorySales[[#This Row],[SalespersonName]]=tblCategorySales[[#This Row],[ExpectedSalespersonName]],"Match","Mismatch")</f>
        <v>Match</v>
      </c>
    </row>
    <row r="66" spans="1:13" x14ac:dyDescent="0.3">
      <c r="A66">
        <v>274</v>
      </c>
      <c r="B66" t="s">
        <v>32</v>
      </c>
      <c r="C66" t="s">
        <v>33</v>
      </c>
      <c r="D66">
        <v>2011</v>
      </c>
      <c r="E66">
        <v>3</v>
      </c>
      <c r="F66">
        <v>4</v>
      </c>
      <c r="G66" t="s">
        <v>70</v>
      </c>
      <c r="H66">
        <v>1</v>
      </c>
      <c r="I66">
        <v>3</v>
      </c>
      <c r="J66">
        <v>60.5595</v>
      </c>
      <c r="K66" t="s">
        <v>75</v>
      </c>
      <c r="L66" t="str">
        <f>_xlfn.XLOOKUP(tblCategorySales[[#This Row],[SalesPersonID]],tblSalespersonSummary[SalesPersonID],tblSalespersonSummary[SalespersonName],"Not found")</f>
        <v>Stephen Jiang</v>
      </c>
      <c r="M66" t="str">
        <f>IF(tblCategorySales[[#This Row],[SalespersonName]]=tblCategorySales[[#This Row],[ExpectedSalespersonName]],"Match","Mismatch")</f>
        <v>Match</v>
      </c>
    </row>
    <row r="67" spans="1:13" x14ac:dyDescent="0.3">
      <c r="A67">
        <v>274</v>
      </c>
      <c r="B67" t="s">
        <v>32</v>
      </c>
      <c r="C67" t="s">
        <v>33</v>
      </c>
      <c r="D67">
        <v>2011</v>
      </c>
      <c r="E67">
        <v>3</v>
      </c>
      <c r="F67">
        <v>1</v>
      </c>
      <c r="G67" t="s">
        <v>71</v>
      </c>
      <c r="H67">
        <v>2</v>
      </c>
      <c r="I67">
        <v>11</v>
      </c>
      <c r="J67">
        <v>22379.934000000001</v>
      </c>
      <c r="K67" t="s">
        <v>75</v>
      </c>
      <c r="L67" t="str">
        <f>_xlfn.XLOOKUP(tblCategorySales[[#This Row],[SalesPersonID]],tblSalespersonSummary[SalesPersonID],tblSalespersonSummary[SalespersonName],"Not found")</f>
        <v>Stephen Jiang</v>
      </c>
      <c r="M67" t="str">
        <f>IF(tblCategorySales[[#This Row],[SalespersonName]]=tblCategorySales[[#This Row],[ExpectedSalespersonName]],"Match","Mismatch")</f>
        <v>Match</v>
      </c>
    </row>
    <row r="68" spans="1:13" x14ac:dyDescent="0.3">
      <c r="A68">
        <v>274</v>
      </c>
      <c r="B68" t="s">
        <v>32</v>
      </c>
      <c r="C68" t="s">
        <v>33</v>
      </c>
      <c r="D68">
        <v>2011</v>
      </c>
      <c r="E68">
        <v>3</v>
      </c>
      <c r="F68">
        <v>3</v>
      </c>
      <c r="G68" t="s">
        <v>72</v>
      </c>
      <c r="H68">
        <v>1</v>
      </c>
      <c r="I68">
        <v>5</v>
      </c>
      <c r="J68">
        <v>144.202</v>
      </c>
      <c r="K68" t="s">
        <v>75</v>
      </c>
      <c r="L68" t="str">
        <f>_xlfn.XLOOKUP(tblCategorySales[[#This Row],[SalesPersonID]],tblSalespersonSummary[SalesPersonID],tblSalespersonSummary[SalespersonName],"Not found")</f>
        <v>Stephen Jiang</v>
      </c>
      <c r="M68" t="str">
        <f>IF(tblCategorySales[[#This Row],[SalespersonName]]=tblCategorySales[[#This Row],[ExpectedSalespersonName]],"Match","Mismatch")</f>
        <v>Match</v>
      </c>
    </row>
    <row r="69" spans="1:13" x14ac:dyDescent="0.3">
      <c r="A69">
        <v>279</v>
      </c>
      <c r="B69" t="s">
        <v>34</v>
      </c>
      <c r="C69" t="s">
        <v>35</v>
      </c>
      <c r="D69">
        <v>2011</v>
      </c>
      <c r="E69">
        <v>3</v>
      </c>
      <c r="F69">
        <v>4</v>
      </c>
      <c r="G69" t="s">
        <v>70</v>
      </c>
      <c r="H69">
        <v>11</v>
      </c>
      <c r="I69">
        <v>52</v>
      </c>
      <c r="J69">
        <v>1049.6980000000001</v>
      </c>
      <c r="K69" t="s">
        <v>74</v>
      </c>
      <c r="L69" t="str">
        <f>_xlfn.XLOOKUP(tblCategorySales[[#This Row],[SalesPersonID]],tblSalespersonSummary[SalesPersonID],tblSalespersonSummary[SalespersonName],"Not found")</f>
        <v>Tsvi Reiter</v>
      </c>
      <c r="M69" t="str">
        <f>IF(tblCategorySales[[#This Row],[SalespersonName]]=tblCategorySales[[#This Row],[ExpectedSalespersonName]],"Match","Mismatch")</f>
        <v>Match</v>
      </c>
    </row>
    <row r="70" spans="1:13" x14ac:dyDescent="0.3">
      <c r="A70">
        <v>279</v>
      </c>
      <c r="B70" t="s">
        <v>34</v>
      </c>
      <c r="C70" t="s">
        <v>35</v>
      </c>
      <c r="D70">
        <v>2011</v>
      </c>
      <c r="E70">
        <v>3</v>
      </c>
      <c r="F70">
        <v>1</v>
      </c>
      <c r="G70" t="s">
        <v>71</v>
      </c>
      <c r="H70">
        <v>25</v>
      </c>
      <c r="I70">
        <v>388</v>
      </c>
      <c r="J70">
        <v>533281.48380000005</v>
      </c>
      <c r="K70" t="s">
        <v>74</v>
      </c>
      <c r="L70" t="str">
        <f>_xlfn.XLOOKUP(tblCategorySales[[#This Row],[SalesPersonID]],tblSalespersonSummary[SalesPersonID],tblSalespersonSummary[SalespersonName],"Not found")</f>
        <v>Tsvi Reiter</v>
      </c>
      <c r="M70" t="str">
        <f>IF(tblCategorySales[[#This Row],[SalespersonName]]=tblCategorySales[[#This Row],[ExpectedSalespersonName]],"Match","Mismatch")</f>
        <v>Match</v>
      </c>
    </row>
    <row r="71" spans="1:13" x14ac:dyDescent="0.3">
      <c r="A71">
        <v>279</v>
      </c>
      <c r="B71" t="s">
        <v>34</v>
      </c>
      <c r="C71" t="s">
        <v>35</v>
      </c>
      <c r="D71">
        <v>2011</v>
      </c>
      <c r="E71">
        <v>3</v>
      </c>
      <c r="F71">
        <v>3</v>
      </c>
      <c r="G71" t="s">
        <v>72</v>
      </c>
      <c r="H71">
        <v>14</v>
      </c>
      <c r="I71">
        <v>162</v>
      </c>
      <c r="J71">
        <v>2251.4247</v>
      </c>
      <c r="K71" t="s">
        <v>74</v>
      </c>
      <c r="L71" t="str">
        <f>_xlfn.XLOOKUP(tblCategorySales[[#This Row],[SalesPersonID]],tblSalespersonSummary[SalesPersonID],tblSalespersonSummary[SalespersonName],"Not found")</f>
        <v>Tsvi Reiter</v>
      </c>
      <c r="M71" t="str">
        <f>IF(tblCategorySales[[#This Row],[SalespersonName]]=tblCategorySales[[#This Row],[ExpectedSalespersonName]],"Match","Mismatch")</f>
        <v>Match</v>
      </c>
    </row>
    <row r="72" spans="1:13" x14ac:dyDescent="0.3">
      <c r="A72">
        <v>279</v>
      </c>
      <c r="B72" t="s">
        <v>34</v>
      </c>
      <c r="C72" t="s">
        <v>35</v>
      </c>
      <c r="D72">
        <v>2011</v>
      </c>
      <c r="E72">
        <v>3</v>
      </c>
      <c r="F72">
        <v>2</v>
      </c>
      <c r="G72" t="s">
        <v>73</v>
      </c>
      <c r="H72">
        <v>16</v>
      </c>
      <c r="I72">
        <v>87</v>
      </c>
      <c r="J72">
        <v>42750.586600000002</v>
      </c>
      <c r="K72" t="s">
        <v>74</v>
      </c>
      <c r="L72" t="str">
        <f>_xlfn.XLOOKUP(tblCategorySales[[#This Row],[SalesPersonID]],tblSalespersonSummary[SalesPersonID],tblSalespersonSummary[SalespersonName],"Not found")</f>
        <v>Tsvi Reiter</v>
      </c>
      <c r="M72" t="str">
        <f>IF(tblCategorySales[[#This Row],[SalespersonName]]=tblCategorySales[[#This Row],[ExpectedSalespersonName]],"Match","Mismatch")</f>
        <v>Match</v>
      </c>
    </row>
    <row r="73" spans="1:13" x14ac:dyDescent="0.3">
      <c r="A73">
        <v>283</v>
      </c>
      <c r="B73" t="s">
        <v>15</v>
      </c>
      <c r="C73" t="s">
        <v>16</v>
      </c>
      <c r="D73">
        <v>2011</v>
      </c>
      <c r="E73">
        <v>4</v>
      </c>
      <c r="F73">
        <v>4</v>
      </c>
      <c r="G73" t="s">
        <v>70</v>
      </c>
      <c r="H73">
        <v>2</v>
      </c>
      <c r="I73">
        <v>14</v>
      </c>
      <c r="J73">
        <v>282.61099999999999</v>
      </c>
      <c r="K73" t="s">
        <v>75</v>
      </c>
      <c r="L73" t="str">
        <f>_xlfn.XLOOKUP(tblCategorySales[[#This Row],[SalesPersonID]],tblSalespersonSummary[SalesPersonID],tblSalespersonSummary[SalespersonName],"Not found")</f>
        <v>David Campbell</v>
      </c>
      <c r="M73" t="str">
        <f>IF(tblCategorySales[[#This Row],[SalespersonName]]=tblCategorySales[[#This Row],[ExpectedSalespersonName]],"Match","Mismatch")</f>
        <v>Match</v>
      </c>
    </row>
    <row r="74" spans="1:13" x14ac:dyDescent="0.3">
      <c r="A74">
        <v>283</v>
      </c>
      <c r="B74" t="s">
        <v>15</v>
      </c>
      <c r="C74" t="s">
        <v>16</v>
      </c>
      <c r="D74">
        <v>2011</v>
      </c>
      <c r="E74">
        <v>4</v>
      </c>
      <c r="F74">
        <v>1</v>
      </c>
      <c r="G74" t="s">
        <v>71</v>
      </c>
      <c r="H74">
        <v>13</v>
      </c>
      <c r="I74">
        <v>163</v>
      </c>
      <c r="J74">
        <v>272551.42940000002</v>
      </c>
      <c r="K74" t="s">
        <v>75</v>
      </c>
      <c r="L74" t="str">
        <f>_xlfn.XLOOKUP(tblCategorySales[[#This Row],[SalesPersonID]],tblSalespersonSummary[SalesPersonID],tblSalespersonSummary[SalespersonName],"Not found")</f>
        <v>David Campbell</v>
      </c>
      <c r="M74" t="str">
        <f>IF(tblCategorySales[[#This Row],[SalespersonName]]=tblCategorySales[[#This Row],[ExpectedSalespersonName]],"Match","Mismatch")</f>
        <v>Match</v>
      </c>
    </row>
    <row r="75" spans="1:13" x14ac:dyDescent="0.3">
      <c r="A75">
        <v>283</v>
      </c>
      <c r="B75" t="s">
        <v>15</v>
      </c>
      <c r="C75" t="s">
        <v>16</v>
      </c>
      <c r="D75">
        <v>2011</v>
      </c>
      <c r="E75">
        <v>4</v>
      </c>
      <c r="F75">
        <v>3</v>
      </c>
      <c r="G75" t="s">
        <v>72</v>
      </c>
      <c r="H75">
        <v>7</v>
      </c>
      <c r="I75">
        <v>67</v>
      </c>
      <c r="J75">
        <v>686.44320000000005</v>
      </c>
      <c r="K75" t="s">
        <v>75</v>
      </c>
      <c r="L75" t="str">
        <f>_xlfn.XLOOKUP(tblCategorySales[[#This Row],[SalesPersonID]],tblSalespersonSummary[SalesPersonID],tblSalespersonSummary[SalespersonName],"Not found")</f>
        <v>David Campbell</v>
      </c>
      <c r="M75" t="str">
        <f>IF(tblCategorySales[[#This Row],[SalespersonName]]=tblCategorySales[[#This Row],[ExpectedSalespersonName]],"Match","Mismatch")</f>
        <v>Match</v>
      </c>
    </row>
    <row r="76" spans="1:13" x14ac:dyDescent="0.3">
      <c r="A76">
        <v>283</v>
      </c>
      <c r="B76" t="s">
        <v>15</v>
      </c>
      <c r="C76" t="s">
        <v>16</v>
      </c>
      <c r="D76">
        <v>2011</v>
      </c>
      <c r="E76">
        <v>4</v>
      </c>
      <c r="F76">
        <v>2</v>
      </c>
      <c r="G76" t="s">
        <v>73</v>
      </c>
      <c r="H76">
        <v>5</v>
      </c>
      <c r="I76">
        <v>38</v>
      </c>
      <c r="J76">
        <v>16271.4079</v>
      </c>
      <c r="K76" t="s">
        <v>75</v>
      </c>
      <c r="L76" t="str">
        <f>_xlfn.XLOOKUP(tblCategorySales[[#This Row],[SalesPersonID]],tblSalespersonSummary[SalesPersonID],tblSalespersonSummary[SalespersonName],"Not found")</f>
        <v>David Campbell</v>
      </c>
      <c r="M76" t="str">
        <f>IF(tblCategorySales[[#This Row],[SalespersonName]]=tblCategorySales[[#This Row],[ExpectedSalespersonName]],"Match","Mismatch")</f>
        <v>Match</v>
      </c>
    </row>
    <row r="77" spans="1:13" x14ac:dyDescent="0.3">
      <c r="A77">
        <v>278</v>
      </c>
      <c r="B77" t="s">
        <v>21</v>
      </c>
      <c r="C77" t="s">
        <v>22</v>
      </c>
      <c r="D77">
        <v>2011</v>
      </c>
      <c r="E77">
        <v>4</v>
      </c>
      <c r="F77">
        <v>4</v>
      </c>
      <c r="G77" t="s">
        <v>70</v>
      </c>
      <c r="H77">
        <v>3</v>
      </c>
      <c r="I77">
        <v>34</v>
      </c>
      <c r="J77">
        <v>686.34100000000001</v>
      </c>
      <c r="K77" t="s">
        <v>74</v>
      </c>
      <c r="L77" t="str">
        <f>_xlfn.XLOOKUP(tblCategorySales[[#This Row],[SalesPersonID]],tblSalespersonSummary[SalesPersonID],tblSalespersonSummary[SalespersonName],"Not found")</f>
        <v>Garrett Vargas</v>
      </c>
      <c r="M77" t="str">
        <f>IF(tblCategorySales[[#This Row],[SalespersonName]]=tblCategorySales[[#This Row],[ExpectedSalespersonName]],"Match","Mismatch")</f>
        <v>Match</v>
      </c>
    </row>
    <row r="78" spans="1:13" x14ac:dyDescent="0.3">
      <c r="A78">
        <v>278</v>
      </c>
      <c r="B78" t="s">
        <v>21</v>
      </c>
      <c r="C78" t="s">
        <v>22</v>
      </c>
      <c r="D78">
        <v>2011</v>
      </c>
      <c r="E78">
        <v>4</v>
      </c>
      <c r="F78">
        <v>1</v>
      </c>
      <c r="G78" t="s">
        <v>71</v>
      </c>
      <c r="H78">
        <v>14</v>
      </c>
      <c r="I78">
        <v>243</v>
      </c>
      <c r="J78">
        <v>241679.86429999999</v>
      </c>
      <c r="K78" t="s">
        <v>74</v>
      </c>
      <c r="L78" t="str">
        <f>_xlfn.XLOOKUP(tblCategorySales[[#This Row],[SalesPersonID]],tblSalespersonSummary[SalesPersonID],tblSalespersonSummary[SalespersonName],"Not found")</f>
        <v>Garrett Vargas</v>
      </c>
      <c r="M78" t="str">
        <f>IF(tblCategorySales[[#This Row],[SalespersonName]]=tblCategorySales[[#This Row],[ExpectedSalespersonName]],"Match","Mismatch")</f>
        <v>Match</v>
      </c>
    </row>
    <row r="79" spans="1:13" x14ac:dyDescent="0.3">
      <c r="A79">
        <v>278</v>
      </c>
      <c r="B79" t="s">
        <v>21</v>
      </c>
      <c r="C79" t="s">
        <v>22</v>
      </c>
      <c r="D79">
        <v>2011</v>
      </c>
      <c r="E79">
        <v>4</v>
      </c>
      <c r="F79">
        <v>3</v>
      </c>
      <c r="G79" t="s">
        <v>72</v>
      </c>
      <c r="H79">
        <v>9</v>
      </c>
      <c r="I79">
        <v>61</v>
      </c>
      <c r="J79">
        <v>748.8143</v>
      </c>
      <c r="K79" t="s">
        <v>74</v>
      </c>
      <c r="L79" t="str">
        <f>_xlfn.XLOOKUP(tblCategorySales[[#This Row],[SalesPersonID]],tblSalespersonSummary[SalesPersonID],tblSalespersonSummary[SalespersonName],"Not found")</f>
        <v>Garrett Vargas</v>
      </c>
      <c r="M79" t="str">
        <f>IF(tblCategorySales[[#This Row],[SalespersonName]]=tblCategorySales[[#This Row],[ExpectedSalespersonName]],"Match","Mismatch")</f>
        <v>Match</v>
      </c>
    </row>
    <row r="80" spans="1:13" x14ac:dyDescent="0.3">
      <c r="A80">
        <v>278</v>
      </c>
      <c r="B80" t="s">
        <v>21</v>
      </c>
      <c r="C80" t="s">
        <v>22</v>
      </c>
      <c r="D80">
        <v>2011</v>
      </c>
      <c r="E80">
        <v>4</v>
      </c>
      <c r="F80">
        <v>2</v>
      </c>
      <c r="G80" t="s">
        <v>73</v>
      </c>
      <c r="H80">
        <v>7</v>
      </c>
      <c r="I80">
        <v>40</v>
      </c>
      <c r="J80">
        <v>14171.965899999999</v>
      </c>
      <c r="K80" t="s">
        <v>74</v>
      </c>
      <c r="L80" t="str">
        <f>_xlfn.XLOOKUP(tblCategorySales[[#This Row],[SalesPersonID]],tblSalespersonSummary[SalesPersonID],tblSalespersonSummary[SalespersonName],"Not found")</f>
        <v>Garrett Vargas</v>
      </c>
      <c r="M80" t="str">
        <f>IF(tblCategorySales[[#This Row],[SalespersonName]]=tblCategorySales[[#This Row],[ExpectedSalespersonName]],"Match","Mismatch")</f>
        <v>Match</v>
      </c>
    </row>
    <row r="81" spans="1:13" x14ac:dyDescent="0.3">
      <c r="A81">
        <v>277</v>
      </c>
      <c r="B81" t="s">
        <v>23</v>
      </c>
      <c r="C81" t="s">
        <v>24</v>
      </c>
      <c r="D81">
        <v>2011</v>
      </c>
      <c r="E81">
        <v>4</v>
      </c>
      <c r="F81">
        <v>4</v>
      </c>
      <c r="G81" t="s">
        <v>70</v>
      </c>
      <c r="H81">
        <v>13</v>
      </c>
      <c r="I81">
        <v>109</v>
      </c>
      <c r="J81">
        <v>2200.3285000000001</v>
      </c>
      <c r="K81" t="s">
        <v>74</v>
      </c>
      <c r="L81" t="str">
        <f>_xlfn.XLOOKUP(tblCategorySales[[#This Row],[SalesPersonID]],tblSalespersonSummary[SalesPersonID],tblSalespersonSummary[SalespersonName],"Not found")</f>
        <v>Jillian Carson</v>
      </c>
      <c r="M81" t="str">
        <f>IF(tblCategorySales[[#This Row],[SalespersonName]]=tblCategorySales[[#This Row],[ExpectedSalespersonName]],"Match","Mismatch")</f>
        <v>Match</v>
      </c>
    </row>
    <row r="82" spans="1:13" x14ac:dyDescent="0.3">
      <c r="A82">
        <v>277</v>
      </c>
      <c r="B82" t="s">
        <v>23</v>
      </c>
      <c r="C82" t="s">
        <v>24</v>
      </c>
      <c r="D82">
        <v>2011</v>
      </c>
      <c r="E82">
        <v>4</v>
      </c>
      <c r="F82">
        <v>1</v>
      </c>
      <c r="G82" t="s">
        <v>71</v>
      </c>
      <c r="H82">
        <v>26</v>
      </c>
      <c r="I82">
        <v>637</v>
      </c>
      <c r="J82">
        <v>704088.39650000003</v>
      </c>
      <c r="K82" t="s">
        <v>74</v>
      </c>
      <c r="L82" t="str">
        <f>_xlfn.XLOOKUP(tblCategorySales[[#This Row],[SalesPersonID]],tblSalespersonSummary[SalesPersonID],tblSalespersonSummary[SalespersonName],"Not found")</f>
        <v>Jillian Carson</v>
      </c>
      <c r="M82" t="str">
        <f>IF(tblCategorySales[[#This Row],[SalespersonName]]=tblCategorySales[[#This Row],[ExpectedSalespersonName]],"Match","Mismatch")</f>
        <v>Match</v>
      </c>
    </row>
    <row r="83" spans="1:13" x14ac:dyDescent="0.3">
      <c r="A83">
        <v>277</v>
      </c>
      <c r="B83" t="s">
        <v>23</v>
      </c>
      <c r="C83" t="s">
        <v>24</v>
      </c>
      <c r="D83">
        <v>2011</v>
      </c>
      <c r="E83">
        <v>4</v>
      </c>
      <c r="F83">
        <v>3</v>
      </c>
      <c r="G83" t="s">
        <v>72</v>
      </c>
      <c r="H83">
        <v>19</v>
      </c>
      <c r="I83">
        <v>201</v>
      </c>
      <c r="J83">
        <v>3910.889772</v>
      </c>
      <c r="K83" t="s">
        <v>74</v>
      </c>
      <c r="L83" t="str">
        <f>_xlfn.XLOOKUP(tblCategorySales[[#This Row],[SalesPersonID]],tblSalespersonSummary[SalesPersonID],tblSalespersonSummary[SalespersonName],"Not found")</f>
        <v>Jillian Carson</v>
      </c>
      <c r="M83" t="str">
        <f>IF(tblCategorySales[[#This Row],[SalespersonName]]=tblCategorySales[[#This Row],[ExpectedSalespersonName]],"Match","Mismatch")</f>
        <v>Match</v>
      </c>
    </row>
    <row r="84" spans="1:13" x14ac:dyDescent="0.3">
      <c r="A84">
        <v>277</v>
      </c>
      <c r="B84" t="s">
        <v>23</v>
      </c>
      <c r="C84" t="s">
        <v>24</v>
      </c>
      <c r="D84">
        <v>2011</v>
      </c>
      <c r="E84">
        <v>4</v>
      </c>
      <c r="F84">
        <v>2</v>
      </c>
      <c r="G84" t="s">
        <v>73</v>
      </c>
      <c r="H84">
        <v>19</v>
      </c>
      <c r="I84">
        <v>169</v>
      </c>
      <c r="J84">
        <v>52981.341099999998</v>
      </c>
      <c r="K84" t="s">
        <v>74</v>
      </c>
      <c r="L84" t="str">
        <f>_xlfn.XLOOKUP(tblCategorySales[[#This Row],[SalesPersonID]],tblSalespersonSummary[SalesPersonID],tblSalespersonSummary[SalespersonName],"Not found")</f>
        <v>Jillian Carson</v>
      </c>
      <c r="M84" t="str">
        <f>IF(tblCategorySales[[#This Row],[SalespersonName]]=tblCategorySales[[#This Row],[ExpectedSalespersonName]],"Match","Mismatch")</f>
        <v>Match</v>
      </c>
    </row>
    <row r="85" spans="1:13" x14ac:dyDescent="0.3">
      <c r="A85">
        <v>282</v>
      </c>
      <c r="B85" t="s">
        <v>25</v>
      </c>
      <c r="C85" t="s">
        <v>22</v>
      </c>
      <c r="D85">
        <v>2011</v>
      </c>
      <c r="E85">
        <v>4</v>
      </c>
      <c r="F85">
        <v>4</v>
      </c>
      <c r="G85" t="s">
        <v>70</v>
      </c>
      <c r="H85">
        <v>10</v>
      </c>
      <c r="I85">
        <v>103</v>
      </c>
      <c r="J85">
        <v>2079.2094999999999</v>
      </c>
      <c r="K85" t="s">
        <v>74</v>
      </c>
      <c r="L85" t="str">
        <f>_xlfn.XLOOKUP(tblCategorySales[[#This Row],[SalesPersonID]],tblSalespersonSummary[SalesPersonID],tblSalespersonSummary[SalespersonName],"Not found")</f>
        <v>José Saraiva</v>
      </c>
      <c r="M85" t="str">
        <f>IF(tblCategorySales[[#This Row],[SalespersonName]]=tblCategorySales[[#This Row],[ExpectedSalespersonName]],"Match","Mismatch")</f>
        <v>Match</v>
      </c>
    </row>
    <row r="86" spans="1:13" x14ac:dyDescent="0.3">
      <c r="A86">
        <v>282</v>
      </c>
      <c r="B86" t="s">
        <v>25</v>
      </c>
      <c r="C86" t="s">
        <v>22</v>
      </c>
      <c r="D86">
        <v>2011</v>
      </c>
      <c r="E86">
        <v>4</v>
      </c>
      <c r="F86">
        <v>1</v>
      </c>
      <c r="G86" t="s">
        <v>71</v>
      </c>
      <c r="H86">
        <v>23</v>
      </c>
      <c r="I86">
        <v>510</v>
      </c>
      <c r="J86">
        <v>497281.43683999998</v>
      </c>
      <c r="K86" t="s">
        <v>74</v>
      </c>
      <c r="L86" t="str">
        <f>_xlfn.XLOOKUP(tblCategorySales[[#This Row],[SalesPersonID]],tblSalespersonSummary[SalesPersonID],tblSalespersonSummary[SalespersonName],"Not found")</f>
        <v>José Saraiva</v>
      </c>
      <c r="M86" t="str">
        <f>IF(tblCategorySales[[#This Row],[SalespersonName]]=tblCategorySales[[#This Row],[ExpectedSalespersonName]],"Match","Mismatch")</f>
        <v>Match</v>
      </c>
    </row>
    <row r="87" spans="1:13" x14ac:dyDescent="0.3">
      <c r="A87">
        <v>282</v>
      </c>
      <c r="B87" t="s">
        <v>25</v>
      </c>
      <c r="C87" t="s">
        <v>22</v>
      </c>
      <c r="D87">
        <v>2011</v>
      </c>
      <c r="E87">
        <v>4</v>
      </c>
      <c r="F87">
        <v>3</v>
      </c>
      <c r="G87" t="s">
        <v>72</v>
      </c>
      <c r="H87">
        <v>17</v>
      </c>
      <c r="I87">
        <v>186</v>
      </c>
      <c r="J87">
        <v>3544.5324000000001</v>
      </c>
      <c r="K87" t="s">
        <v>74</v>
      </c>
      <c r="L87" t="str">
        <f>_xlfn.XLOOKUP(tblCategorySales[[#This Row],[SalesPersonID]],tblSalespersonSummary[SalesPersonID],tblSalespersonSummary[SalespersonName],"Not found")</f>
        <v>José Saraiva</v>
      </c>
      <c r="M87" t="str">
        <f>IF(tblCategorySales[[#This Row],[SalespersonName]]=tblCategorySales[[#This Row],[ExpectedSalespersonName]],"Match","Mismatch")</f>
        <v>Match</v>
      </c>
    </row>
    <row r="88" spans="1:13" x14ac:dyDescent="0.3">
      <c r="A88">
        <v>282</v>
      </c>
      <c r="B88" t="s">
        <v>25</v>
      </c>
      <c r="C88" t="s">
        <v>22</v>
      </c>
      <c r="D88">
        <v>2011</v>
      </c>
      <c r="E88">
        <v>4</v>
      </c>
      <c r="F88">
        <v>2</v>
      </c>
      <c r="G88" t="s">
        <v>73</v>
      </c>
      <c r="H88">
        <v>15</v>
      </c>
      <c r="I88">
        <v>110</v>
      </c>
      <c r="J88">
        <v>44057.029300000002</v>
      </c>
      <c r="K88" t="s">
        <v>74</v>
      </c>
      <c r="L88" t="str">
        <f>_xlfn.XLOOKUP(tblCategorySales[[#This Row],[SalesPersonID]],tblSalespersonSummary[SalesPersonID],tblSalespersonSummary[SalespersonName],"Not found")</f>
        <v>José Saraiva</v>
      </c>
      <c r="M88" t="str">
        <f>IF(tblCategorySales[[#This Row],[SalespersonName]]=tblCategorySales[[#This Row],[ExpectedSalespersonName]],"Match","Mismatch")</f>
        <v>Match</v>
      </c>
    </row>
    <row r="89" spans="1:13" x14ac:dyDescent="0.3">
      <c r="A89">
        <v>276</v>
      </c>
      <c r="B89" t="s">
        <v>26</v>
      </c>
      <c r="C89" t="s">
        <v>27</v>
      </c>
      <c r="D89">
        <v>2011</v>
      </c>
      <c r="E89">
        <v>4</v>
      </c>
      <c r="F89">
        <v>4</v>
      </c>
      <c r="G89" t="s">
        <v>70</v>
      </c>
      <c r="H89">
        <v>10</v>
      </c>
      <c r="I89">
        <v>75</v>
      </c>
      <c r="J89">
        <v>1513.9875</v>
      </c>
      <c r="K89" t="s">
        <v>75</v>
      </c>
      <c r="L89" t="str">
        <f>_xlfn.XLOOKUP(tblCategorySales[[#This Row],[SalesPersonID]],tblSalespersonSummary[SalesPersonID],tblSalespersonSummary[SalespersonName],"Not found")</f>
        <v>Linda Mitchell</v>
      </c>
      <c r="M89" t="str">
        <f>IF(tblCategorySales[[#This Row],[SalespersonName]]=tblCategorySales[[#This Row],[ExpectedSalespersonName]],"Match","Mismatch")</f>
        <v>Match</v>
      </c>
    </row>
    <row r="90" spans="1:13" x14ac:dyDescent="0.3">
      <c r="A90">
        <v>276</v>
      </c>
      <c r="B90" t="s">
        <v>26</v>
      </c>
      <c r="C90" t="s">
        <v>27</v>
      </c>
      <c r="D90">
        <v>2011</v>
      </c>
      <c r="E90">
        <v>4</v>
      </c>
      <c r="F90">
        <v>1</v>
      </c>
      <c r="G90" t="s">
        <v>71</v>
      </c>
      <c r="H90">
        <v>25</v>
      </c>
      <c r="I90">
        <v>450</v>
      </c>
      <c r="J90">
        <v>623808.35049999994</v>
      </c>
      <c r="K90" t="s">
        <v>75</v>
      </c>
      <c r="L90" t="str">
        <f>_xlfn.XLOOKUP(tblCategorySales[[#This Row],[SalesPersonID]],tblSalespersonSummary[SalesPersonID],tblSalespersonSummary[SalespersonName],"Not found")</f>
        <v>Linda Mitchell</v>
      </c>
      <c r="M90" t="str">
        <f>IF(tblCategorySales[[#This Row],[SalespersonName]]=tblCategorySales[[#This Row],[ExpectedSalespersonName]],"Match","Mismatch")</f>
        <v>Match</v>
      </c>
    </row>
    <row r="91" spans="1:13" x14ac:dyDescent="0.3">
      <c r="A91">
        <v>276</v>
      </c>
      <c r="B91" t="s">
        <v>26</v>
      </c>
      <c r="C91" t="s">
        <v>27</v>
      </c>
      <c r="D91">
        <v>2011</v>
      </c>
      <c r="E91">
        <v>4</v>
      </c>
      <c r="F91">
        <v>3</v>
      </c>
      <c r="G91" t="s">
        <v>72</v>
      </c>
      <c r="H91">
        <v>15</v>
      </c>
      <c r="I91">
        <v>125</v>
      </c>
      <c r="J91">
        <v>2131.7997999999998</v>
      </c>
      <c r="K91" t="s">
        <v>75</v>
      </c>
      <c r="L91" t="str">
        <f>_xlfn.XLOOKUP(tblCategorySales[[#This Row],[SalesPersonID]],tblSalespersonSummary[SalesPersonID],tblSalespersonSummary[SalespersonName],"Not found")</f>
        <v>Linda Mitchell</v>
      </c>
      <c r="M91" t="str">
        <f>IF(tblCategorySales[[#This Row],[SalespersonName]]=tblCategorySales[[#This Row],[ExpectedSalespersonName]],"Match","Mismatch")</f>
        <v>Match</v>
      </c>
    </row>
    <row r="92" spans="1:13" x14ac:dyDescent="0.3">
      <c r="A92">
        <v>276</v>
      </c>
      <c r="B92" t="s">
        <v>26</v>
      </c>
      <c r="C92" t="s">
        <v>27</v>
      </c>
      <c r="D92">
        <v>2011</v>
      </c>
      <c r="E92">
        <v>4</v>
      </c>
      <c r="F92">
        <v>2</v>
      </c>
      <c r="G92" t="s">
        <v>73</v>
      </c>
      <c r="H92">
        <v>14</v>
      </c>
      <c r="I92">
        <v>121</v>
      </c>
      <c r="J92">
        <v>57245.882299999997</v>
      </c>
      <c r="K92" t="s">
        <v>75</v>
      </c>
      <c r="L92" t="str">
        <f>_xlfn.XLOOKUP(tblCategorySales[[#This Row],[SalesPersonID]],tblSalespersonSummary[SalesPersonID],tblSalespersonSummary[SalespersonName],"Not found")</f>
        <v>Linda Mitchell</v>
      </c>
      <c r="M92" t="str">
        <f>IF(tblCategorySales[[#This Row],[SalespersonName]]=tblCategorySales[[#This Row],[ExpectedSalespersonName]],"Match","Mismatch")</f>
        <v>Match</v>
      </c>
    </row>
    <row r="93" spans="1:13" x14ac:dyDescent="0.3">
      <c r="A93">
        <v>275</v>
      </c>
      <c r="B93" t="s">
        <v>28</v>
      </c>
      <c r="C93" t="s">
        <v>29</v>
      </c>
      <c r="D93">
        <v>2011</v>
      </c>
      <c r="E93">
        <v>4</v>
      </c>
      <c r="F93">
        <v>4</v>
      </c>
      <c r="G93" t="s">
        <v>70</v>
      </c>
      <c r="H93">
        <v>4</v>
      </c>
      <c r="I93">
        <v>33</v>
      </c>
      <c r="J93">
        <v>666.15449999999998</v>
      </c>
      <c r="K93" t="s">
        <v>74</v>
      </c>
      <c r="L93" t="str">
        <f>_xlfn.XLOOKUP(tblCategorySales[[#This Row],[SalesPersonID]],tblSalespersonSummary[SalesPersonID],tblSalespersonSummary[SalespersonName],"Not found")</f>
        <v>Michael Blythe</v>
      </c>
      <c r="M93" t="str">
        <f>IF(tblCategorySales[[#This Row],[SalespersonName]]=tblCategorySales[[#This Row],[ExpectedSalespersonName]],"Match","Mismatch")</f>
        <v>Match</v>
      </c>
    </row>
    <row r="94" spans="1:13" x14ac:dyDescent="0.3">
      <c r="A94">
        <v>275</v>
      </c>
      <c r="B94" t="s">
        <v>28</v>
      </c>
      <c r="C94" t="s">
        <v>29</v>
      </c>
      <c r="D94">
        <v>2011</v>
      </c>
      <c r="E94">
        <v>4</v>
      </c>
      <c r="F94">
        <v>1</v>
      </c>
      <c r="G94" t="s">
        <v>71</v>
      </c>
      <c r="H94">
        <v>28</v>
      </c>
      <c r="I94">
        <v>481</v>
      </c>
      <c r="J94">
        <v>431156.20030000003</v>
      </c>
      <c r="K94" t="s">
        <v>74</v>
      </c>
      <c r="L94" t="str">
        <f>_xlfn.XLOOKUP(tblCategorySales[[#This Row],[SalesPersonID]],tblSalespersonSummary[SalesPersonID],tblSalespersonSummary[SalespersonName],"Not found")</f>
        <v>Michael Blythe</v>
      </c>
      <c r="M94" t="str">
        <f>IF(tblCategorySales[[#This Row],[SalespersonName]]=tblCategorySales[[#This Row],[ExpectedSalespersonName]],"Match","Mismatch")</f>
        <v>Match</v>
      </c>
    </row>
    <row r="95" spans="1:13" x14ac:dyDescent="0.3">
      <c r="A95">
        <v>275</v>
      </c>
      <c r="B95" t="s">
        <v>28</v>
      </c>
      <c r="C95" t="s">
        <v>29</v>
      </c>
      <c r="D95">
        <v>2011</v>
      </c>
      <c r="E95">
        <v>4</v>
      </c>
      <c r="F95">
        <v>3</v>
      </c>
      <c r="G95" t="s">
        <v>72</v>
      </c>
      <c r="H95">
        <v>16</v>
      </c>
      <c r="I95">
        <v>94</v>
      </c>
      <c r="J95">
        <v>1430.8642400000001</v>
      </c>
      <c r="K95" t="s">
        <v>74</v>
      </c>
      <c r="L95" t="str">
        <f>_xlfn.XLOOKUP(tblCategorySales[[#This Row],[SalesPersonID]],tblSalespersonSummary[SalesPersonID],tblSalespersonSummary[SalespersonName],"Not found")</f>
        <v>Michael Blythe</v>
      </c>
      <c r="M95" t="str">
        <f>IF(tblCategorySales[[#This Row],[SalespersonName]]=tblCategorySales[[#This Row],[ExpectedSalespersonName]],"Match","Mismatch")</f>
        <v>Match</v>
      </c>
    </row>
    <row r="96" spans="1:13" x14ac:dyDescent="0.3">
      <c r="A96">
        <v>275</v>
      </c>
      <c r="B96" t="s">
        <v>28</v>
      </c>
      <c r="C96" t="s">
        <v>29</v>
      </c>
      <c r="D96">
        <v>2011</v>
      </c>
      <c r="E96">
        <v>4</v>
      </c>
      <c r="F96">
        <v>2</v>
      </c>
      <c r="G96" t="s">
        <v>73</v>
      </c>
      <c r="H96">
        <v>14</v>
      </c>
      <c r="I96">
        <v>102</v>
      </c>
      <c r="J96">
        <v>30000.384699999999</v>
      </c>
      <c r="K96" t="s">
        <v>74</v>
      </c>
      <c r="L96" t="str">
        <f>_xlfn.XLOOKUP(tblCategorySales[[#This Row],[SalesPersonID]],tblSalespersonSummary[SalesPersonID],tblSalespersonSummary[SalespersonName],"Not found")</f>
        <v>Michael Blythe</v>
      </c>
      <c r="M96" t="str">
        <f>IF(tblCategorySales[[#This Row],[SalespersonName]]=tblCategorySales[[#This Row],[ExpectedSalespersonName]],"Match","Mismatch")</f>
        <v>Match</v>
      </c>
    </row>
    <row r="97" spans="1:13" x14ac:dyDescent="0.3">
      <c r="A97">
        <v>280</v>
      </c>
      <c r="B97" t="s">
        <v>30</v>
      </c>
      <c r="C97" t="s">
        <v>16</v>
      </c>
      <c r="D97">
        <v>2011</v>
      </c>
      <c r="E97">
        <v>4</v>
      </c>
      <c r="F97">
        <v>4</v>
      </c>
      <c r="G97" t="s">
        <v>70</v>
      </c>
      <c r="H97">
        <v>5</v>
      </c>
      <c r="I97">
        <v>38</v>
      </c>
      <c r="J97">
        <v>767.08699999999999</v>
      </c>
      <c r="K97" t="s">
        <v>75</v>
      </c>
      <c r="L97" t="str">
        <f>_xlfn.XLOOKUP(tblCategorySales[[#This Row],[SalesPersonID]],tblSalespersonSummary[SalesPersonID],tblSalespersonSummary[SalespersonName],"Not found")</f>
        <v>Pamela Ansman-Wolfe</v>
      </c>
      <c r="M97" t="str">
        <f>IF(tblCategorySales[[#This Row],[SalespersonName]]=tblCategorySales[[#This Row],[ExpectedSalespersonName]],"Match","Mismatch")</f>
        <v>Match</v>
      </c>
    </row>
    <row r="98" spans="1:13" x14ac:dyDescent="0.3">
      <c r="A98">
        <v>280</v>
      </c>
      <c r="B98" t="s">
        <v>30</v>
      </c>
      <c r="C98" t="s">
        <v>16</v>
      </c>
      <c r="D98">
        <v>2011</v>
      </c>
      <c r="E98">
        <v>4</v>
      </c>
      <c r="F98">
        <v>1</v>
      </c>
      <c r="G98" t="s">
        <v>71</v>
      </c>
      <c r="H98">
        <v>11</v>
      </c>
      <c r="I98">
        <v>273</v>
      </c>
      <c r="J98">
        <v>381320.35230000003</v>
      </c>
      <c r="K98" t="s">
        <v>75</v>
      </c>
      <c r="L98" t="str">
        <f>_xlfn.XLOOKUP(tblCategorySales[[#This Row],[SalesPersonID]],tblSalespersonSummary[SalesPersonID],tblSalespersonSummary[SalespersonName],"Not found")</f>
        <v>Pamela Ansman-Wolfe</v>
      </c>
      <c r="M98" t="str">
        <f>IF(tblCategorySales[[#This Row],[SalespersonName]]=tblCategorySales[[#This Row],[ExpectedSalespersonName]],"Match","Mismatch")</f>
        <v>Match</v>
      </c>
    </row>
    <row r="99" spans="1:13" x14ac:dyDescent="0.3">
      <c r="A99">
        <v>280</v>
      </c>
      <c r="B99" t="s">
        <v>30</v>
      </c>
      <c r="C99" t="s">
        <v>16</v>
      </c>
      <c r="D99">
        <v>2011</v>
      </c>
      <c r="E99">
        <v>4</v>
      </c>
      <c r="F99">
        <v>3</v>
      </c>
      <c r="G99" t="s">
        <v>72</v>
      </c>
      <c r="H99">
        <v>9</v>
      </c>
      <c r="I99">
        <v>67</v>
      </c>
      <c r="J99">
        <v>854.48950000000002</v>
      </c>
      <c r="K99" t="s">
        <v>75</v>
      </c>
      <c r="L99" t="str">
        <f>_xlfn.XLOOKUP(tblCategorySales[[#This Row],[SalesPersonID]],tblSalespersonSummary[SalesPersonID],tblSalespersonSummary[SalespersonName],"Not found")</f>
        <v>Pamela Ansman-Wolfe</v>
      </c>
      <c r="M99" t="str">
        <f>IF(tblCategorySales[[#This Row],[SalespersonName]]=tblCategorySales[[#This Row],[ExpectedSalespersonName]],"Match","Mismatch")</f>
        <v>Match</v>
      </c>
    </row>
    <row r="100" spans="1:13" x14ac:dyDescent="0.3">
      <c r="A100">
        <v>280</v>
      </c>
      <c r="B100" t="s">
        <v>30</v>
      </c>
      <c r="C100" t="s">
        <v>16</v>
      </c>
      <c r="D100">
        <v>2011</v>
      </c>
      <c r="E100">
        <v>4</v>
      </c>
      <c r="F100">
        <v>2</v>
      </c>
      <c r="G100" t="s">
        <v>73</v>
      </c>
      <c r="H100">
        <v>7</v>
      </c>
      <c r="I100">
        <v>39</v>
      </c>
      <c r="J100">
        <v>16475.4277</v>
      </c>
      <c r="K100" t="s">
        <v>75</v>
      </c>
      <c r="L100" t="str">
        <f>_xlfn.XLOOKUP(tblCategorySales[[#This Row],[SalesPersonID]],tblSalespersonSummary[SalesPersonID],tblSalespersonSummary[SalespersonName],"Not found")</f>
        <v>Pamela Ansman-Wolfe</v>
      </c>
      <c r="M100" t="str">
        <f>IF(tblCategorySales[[#This Row],[SalespersonName]]=tblCategorySales[[#This Row],[ExpectedSalespersonName]],"Match","Mismatch")</f>
        <v>Match</v>
      </c>
    </row>
    <row r="101" spans="1:13" x14ac:dyDescent="0.3">
      <c r="A101">
        <v>281</v>
      </c>
      <c r="B101" t="s">
        <v>31</v>
      </c>
      <c r="C101" t="s">
        <v>27</v>
      </c>
      <c r="D101">
        <v>2011</v>
      </c>
      <c r="E101">
        <v>4</v>
      </c>
      <c r="F101">
        <v>4</v>
      </c>
      <c r="G101" t="s">
        <v>70</v>
      </c>
      <c r="H101">
        <v>6</v>
      </c>
      <c r="I101">
        <v>66</v>
      </c>
      <c r="J101">
        <v>1320.614108</v>
      </c>
      <c r="K101" t="s">
        <v>75</v>
      </c>
      <c r="L101" t="str">
        <f>_xlfn.XLOOKUP(tblCategorySales[[#This Row],[SalesPersonID]],tblSalespersonSummary[SalesPersonID],tblSalespersonSummary[SalespersonName],"Not found")</f>
        <v>Shu Ito</v>
      </c>
      <c r="M101" t="str">
        <f>IF(tblCategorySales[[#This Row],[SalespersonName]]=tblCategorySales[[#This Row],[ExpectedSalespersonName]],"Match","Mismatch")</f>
        <v>Match</v>
      </c>
    </row>
    <row r="102" spans="1:13" x14ac:dyDescent="0.3">
      <c r="A102">
        <v>281</v>
      </c>
      <c r="B102" t="s">
        <v>31</v>
      </c>
      <c r="C102" t="s">
        <v>27</v>
      </c>
      <c r="D102">
        <v>2011</v>
      </c>
      <c r="E102">
        <v>4</v>
      </c>
      <c r="F102">
        <v>1</v>
      </c>
      <c r="G102" t="s">
        <v>71</v>
      </c>
      <c r="H102">
        <v>14</v>
      </c>
      <c r="I102">
        <v>332</v>
      </c>
      <c r="J102">
        <v>450970.68329199997</v>
      </c>
      <c r="K102" t="s">
        <v>75</v>
      </c>
      <c r="L102" t="str">
        <f>_xlfn.XLOOKUP(tblCategorySales[[#This Row],[SalesPersonID]],tblSalespersonSummary[SalesPersonID],tblSalespersonSummary[SalespersonName],"Not found")</f>
        <v>Shu Ito</v>
      </c>
      <c r="M102" t="str">
        <f>IF(tblCategorySales[[#This Row],[SalespersonName]]=tblCategorySales[[#This Row],[ExpectedSalespersonName]],"Match","Mismatch")</f>
        <v>Match</v>
      </c>
    </row>
    <row r="103" spans="1:13" x14ac:dyDescent="0.3">
      <c r="A103">
        <v>281</v>
      </c>
      <c r="B103" t="s">
        <v>31</v>
      </c>
      <c r="C103" t="s">
        <v>27</v>
      </c>
      <c r="D103">
        <v>2011</v>
      </c>
      <c r="E103">
        <v>4</v>
      </c>
      <c r="F103">
        <v>3</v>
      </c>
      <c r="G103" t="s">
        <v>72</v>
      </c>
      <c r="H103">
        <v>12</v>
      </c>
      <c r="I103">
        <v>120</v>
      </c>
      <c r="J103">
        <v>1838.22515</v>
      </c>
      <c r="K103" t="s">
        <v>75</v>
      </c>
      <c r="L103" t="str">
        <f>_xlfn.XLOOKUP(tblCategorySales[[#This Row],[SalesPersonID]],tblSalespersonSummary[SalesPersonID],tblSalespersonSummary[SalespersonName],"Not found")</f>
        <v>Shu Ito</v>
      </c>
      <c r="M103" t="str">
        <f>IF(tblCategorySales[[#This Row],[SalespersonName]]=tblCategorySales[[#This Row],[ExpectedSalespersonName]],"Match","Mismatch")</f>
        <v>Match</v>
      </c>
    </row>
    <row r="104" spans="1:13" x14ac:dyDescent="0.3">
      <c r="A104">
        <v>281</v>
      </c>
      <c r="B104" t="s">
        <v>31</v>
      </c>
      <c r="C104" t="s">
        <v>27</v>
      </c>
      <c r="D104">
        <v>2011</v>
      </c>
      <c r="E104">
        <v>4</v>
      </c>
      <c r="F104">
        <v>2</v>
      </c>
      <c r="G104" t="s">
        <v>73</v>
      </c>
      <c r="H104">
        <v>9</v>
      </c>
      <c r="I104">
        <v>91</v>
      </c>
      <c r="J104">
        <v>37596.273999999998</v>
      </c>
      <c r="K104" t="s">
        <v>75</v>
      </c>
      <c r="L104" t="str">
        <f>_xlfn.XLOOKUP(tblCategorySales[[#This Row],[SalesPersonID]],tblSalespersonSummary[SalesPersonID],tblSalespersonSummary[SalespersonName],"Not found")</f>
        <v>Shu Ito</v>
      </c>
      <c r="M104" t="str">
        <f>IF(tblCategorySales[[#This Row],[SalespersonName]]=tblCategorySales[[#This Row],[ExpectedSalespersonName]],"Match","Mismatch")</f>
        <v>Match</v>
      </c>
    </row>
    <row r="105" spans="1:13" x14ac:dyDescent="0.3">
      <c r="A105">
        <v>274</v>
      </c>
      <c r="B105" t="s">
        <v>32</v>
      </c>
      <c r="C105" t="s">
        <v>33</v>
      </c>
      <c r="D105">
        <v>2011</v>
      </c>
      <c r="E105">
        <v>4</v>
      </c>
      <c r="F105">
        <v>1</v>
      </c>
      <c r="G105" t="s">
        <v>71</v>
      </c>
      <c r="H105">
        <v>2</v>
      </c>
      <c r="I105">
        <v>11</v>
      </c>
      <c r="J105">
        <v>6341.5510000000004</v>
      </c>
      <c r="K105" t="s">
        <v>74</v>
      </c>
      <c r="L105" t="str">
        <f>_xlfn.XLOOKUP(tblCategorySales[[#This Row],[SalesPersonID]],tblSalespersonSummary[SalesPersonID],tblSalespersonSummary[SalespersonName],"Not found")</f>
        <v>Stephen Jiang</v>
      </c>
      <c r="M105" t="str">
        <f>IF(tblCategorySales[[#This Row],[SalespersonName]]=tblCategorySales[[#This Row],[ExpectedSalespersonName]],"Match","Mismatch")</f>
        <v>Match</v>
      </c>
    </row>
    <row r="106" spans="1:13" x14ac:dyDescent="0.3">
      <c r="A106">
        <v>279</v>
      </c>
      <c r="B106" t="s">
        <v>34</v>
      </c>
      <c r="C106" t="s">
        <v>35</v>
      </c>
      <c r="D106">
        <v>2011</v>
      </c>
      <c r="E106">
        <v>4</v>
      </c>
      <c r="F106">
        <v>4</v>
      </c>
      <c r="G106" t="s">
        <v>70</v>
      </c>
      <c r="H106">
        <v>6</v>
      </c>
      <c r="I106">
        <v>41</v>
      </c>
      <c r="J106">
        <v>827.64649999999995</v>
      </c>
      <c r="K106" t="s">
        <v>75</v>
      </c>
      <c r="L106" t="str">
        <f>_xlfn.XLOOKUP(tblCategorySales[[#This Row],[SalesPersonID]],tblSalespersonSummary[SalesPersonID],tblSalespersonSummary[SalespersonName],"Not found")</f>
        <v>Tsvi Reiter</v>
      </c>
      <c r="M106" t="str">
        <f>IF(tblCategorySales[[#This Row],[SalespersonName]]=tblCategorySales[[#This Row],[ExpectedSalespersonName]],"Match","Mismatch")</f>
        <v>Match</v>
      </c>
    </row>
    <row r="107" spans="1:13" x14ac:dyDescent="0.3">
      <c r="A107">
        <v>279</v>
      </c>
      <c r="B107" t="s">
        <v>34</v>
      </c>
      <c r="C107" t="s">
        <v>35</v>
      </c>
      <c r="D107">
        <v>2011</v>
      </c>
      <c r="E107">
        <v>4</v>
      </c>
      <c r="F107">
        <v>1</v>
      </c>
      <c r="G107" t="s">
        <v>71</v>
      </c>
      <c r="H107">
        <v>25</v>
      </c>
      <c r="I107">
        <v>549</v>
      </c>
      <c r="J107">
        <v>774452.19086800003</v>
      </c>
      <c r="K107" t="s">
        <v>75</v>
      </c>
      <c r="L107" t="str">
        <f>_xlfn.XLOOKUP(tblCategorySales[[#This Row],[SalesPersonID]],tblSalespersonSummary[SalesPersonID],tblSalespersonSummary[SalespersonName],"Not found")</f>
        <v>Tsvi Reiter</v>
      </c>
      <c r="M107" t="str">
        <f>IF(tblCategorySales[[#This Row],[SalespersonName]]=tblCategorySales[[#This Row],[ExpectedSalespersonName]],"Match","Mismatch")</f>
        <v>Match</v>
      </c>
    </row>
    <row r="108" spans="1:13" x14ac:dyDescent="0.3">
      <c r="A108">
        <v>279</v>
      </c>
      <c r="B108" t="s">
        <v>34</v>
      </c>
      <c r="C108" t="s">
        <v>35</v>
      </c>
      <c r="D108">
        <v>2011</v>
      </c>
      <c r="E108">
        <v>4</v>
      </c>
      <c r="F108">
        <v>3</v>
      </c>
      <c r="G108" t="s">
        <v>72</v>
      </c>
      <c r="H108">
        <v>18</v>
      </c>
      <c r="I108">
        <v>143</v>
      </c>
      <c r="J108">
        <v>2249.6086</v>
      </c>
      <c r="K108" t="s">
        <v>75</v>
      </c>
      <c r="L108" t="str">
        <f>_xlfn.XLOOKUP(tblCategorySales[[#This Row],[SalesPersonID]],tblSalespersonSummary[SalesPersonID],tblSalespersonSummary[SalespersonName],"Not found")</f>
        <v>Tsvi Reiter</v>
      </c>
      <c r="M108" t="str">
        <f>IF(tblCategorySales[[#This Row],[SalespersonName]]=tblCategorySales[[#This Row],[ExpectedSalespersonName]],"Match","Mismatch")</f>
        <v>Match</v>
      </c>
    </row>
    <row r="109" spans="1:13" x14ac:dyDescent="0.3">
      <c r="A109">
        <v>279</v>
      </c>
      <c r="B109" t="s">
        <v>34</v>
      </c>
      <c r="C109" t="s">
        <v>35</v>
      </c>
      <c r="D109">
        <v>2011</v>
      </c>
      <c r="E109">
        <v>4</v>
      </c>
      <c r="F109">
        <v>2</v>
      </c>
      <c r="G109" t="s">
        <v>73</v>
      </c>
      <c r="H109">
        <v>16</v>
      </c>
      <c r="I109">
        <v>124</v>
      </c>
      <c r="J109">
        <v>60007.219899999996</v>
      </c>
      <c r="K109" t="s">
        <v>75</v>
      </c>
      <c r="L109" t="str">
        <f>_xlfn.XLOOKUP(tblCategorySales[[#This Row],[SalesPersonID]],tblSalespersonSummary[SalesPersonID],tblSalespersonSummary[SalespersonName],"Not found")</f>
        <v>Tsvi Reiter</v>
      </c>
      <c r="M109" t="str">
        <f>IF(tblCategorySales[[#This Row],[SalespersonName]]=tblCategorySales[[#This Row],[ExpectedSalespersonName]],"Match","Mismatch")</f>
        <v>Match</v>
      </c>
    </row>
    <row r="110" spans="1:13" x14ac:dyDescent="0.3">
      <c r="A110">
        <v>283</v>
      </c>
      <c r="B110" t="s">
        <v>15</v>
      </c>
      <c r="C110" t="s">
        <v>16</v>
      </c>
      <c r="D110">
        <v>2012</v>
      </c>
      <c r="E110">
        <v>1</v>
      </c>
      <c r="F110">
        <v>4</v>
      </c>
      <c r="G110" t="s">
        <v>70</v>
      </c>
      <c r="H110">
        <v>3</v>
      </c>
      <c r="I110">
        <v>22</v>
      </c>
      <c r="J110">
        <v>444.10300000000001</v>
      </c>
      <c r="K110" t="s">
        <v>75</v>
      </c>
      <c r="L110" t="str">
        <f>_xlfn.XLOOKUP(tblCategorySales[[#This Row],[SalesPersonID]],tblSalespersonSummary[SalesPersonID],tblSalespersonSummary[SalespersonName],"Not found")</f>
        <v>David Campbell</v>
      </c>
      <c r="M110" t="str">
        <f>IF(tblCategorySales[[#This Row],[SalespersonName]]=tblCategorySales[[#This Row],[ExpectedSalespersonName]],"Match","Mismatch")</f>
        <v>Match</v>
      </c>
    </row>
    <row r="111" spans="1:13" x14ac:dyDescent="0.3">
      <c r="A111">
        <v>283</v>
      </c>
      <c r="B111" t="s">
        <v>15</v>
      </c>
      <c r="C111" t="s">
        <v>16</v>
      </c>
      <c r="D111">
        <v>2012</v>
      </c>
      <c r="E111">
        <v>1</v>
      </c>
      <c r="F111">
        <v>1</v>
      </c>
      <c r="G111" t="s">
        <v>71</v>
      </c>
      <c r="H111">
        <v>13</v>
      </c>
      <c r="I111">
        <v>246</v>
      </c>
      <c r="J111">
        <v>376004.32909999997</v>
      </c>
      <c r="K111" t="s">
        <v>75</v>
      </c>
      <c r="L111" t="str">
        <f>_xlfn.XLOOKUP(tblCategorySales[[#This Row],[SalesPersonID]],tblSalespersonSummary[SalesPersonID],tblSalespersonSummary[SalespersonName],"Not found")</f>
        <v>David Campbell</v>
      </c>
      <c r="M111" t="str">
        <f>IF(tblCategorySales[[#This Row],[SalespersonName]]=tblCategorySales[[#This Row],[ExpectedSalespersonName]],"Match","Mismatch")</f>
        <v>Match</v>
      </c>
    </row>
    <row r="112" spans="1:13" x14ac:dyDescent="0.3">
      <c r="A112">
        <v>283</v>
      </c>
      <c r="B112" t="s">
        <v>15</v>
      </c>
      <c r="C112" t="s">
        <v>16</v>
      </c>
      <c r="D112">
        <v>2012</v>
      </c>
      <c r="E112">
        <v>1</v>
      </c>
      <c r="F112">
        <v>3</v>
      </c>
      <c r="G112" t="s">
        <v>72</v>
      </c>
      <c r="H112">
        <v>8</v>
      </c>
      <c r="I112">
        <v>69</v>
      </c>
      <c r="J112">
        <v>976.04939999999999</v>
      </c>
      <c r="K112" t="s">
        <v>75</v>
      </c>
      <c r="L112" t="str">
        <f>_xlfn.XLOOKUP(tblCategorySales[[#This Row],[SalesPersonID]],tblSalespersonSummary[SalesPersonID],tblSalespersonSummary[SalespersonName],"Not found")</f>
        <v>David Campbell</v>
      </c>
      <c r="M112" t="str">
        <f>IF(tblCategorySales[[#This Row],[SalespersonName]]=tblCategorySales[[#This Row],[ExpectedSalespersonName]],"Match","Mismatch")</f>
        <v>Match</v>
      </c>
    </row>
    <row r="113" spans="1:13" x14ac:dyDescent="0.3">
      <c r="A113">
        <v>283</v>
      </c>
      <c r="B113" t="s">
        <v>15</v>
      </c>
      <c r="C113" t="s">
        <v>16</v>
      </c>
      <c r="D113">
        <v>2012</v>
      </c>
      <c r="E113">
        <v>1</v>
      </c>
      <c r="F113">
        <v>2</v>
      </c>
      <c r="G113" t="s">
        <v>73</v>
      </c>
      <c r="H113">
        <v>7</v>
      </c>
      <c r="I113">
        <v>37</v>
      </c>
      <c r="J113">
        <v>20109.230599999999</v>
      </c>
      <c r="K113" t="s">
        <v>75</v>
      </c>
      <c r="L113" t="str">
        <f>_xlfn.XLOOKUP(tblCategorySales[[#This Row],[SalesPersonID]],tblSalespersonSummary[SalesPersonID],tblSalespersonSummary[SalespersonName],"Not found")</f>
        <v>David Campbell</v>
      </c>
      <c r="M113" t="str">
        <f>IF(tblCategorySales[[#This Row],[SalespersonName]]=tblCategorySales[[#This Row],[ExpectedSalespersonName]],"Match","Mismatch")</f>
        <v>Match</v>
      </c>
    </row>
    <row r="114" spans="1:13" x14ac:dyDescent="0.3">
      <c r="A114">
        <v>278</v>
      </c>
      <c r="B114" t="s">
        <v>21</v>
      </c>
      <c r="C114" t="s">
        <v>22</v>
      </c>
      <c r="D114">
        <v>2012</v>
      </c>
      <c r="E114">
        <v>1</v>
      </c>
      <c r="F114">
        <v>4</v>
      </c>
      <c r="G114" t="s">
        <v>70</v>
      </c>
      <c r="H114">
        <v>3</v>
      </c>
      <c r="I114">
        <v>45</v>
      </c>
      <c r="J114">
        <v>894.57126400000004</v>
      </c>
      <c r="K114" t="s">
        <v>75</v>
      </c>
      <c r="L114" t="str">
        <f>_xlfn.XLOOKUP(tblCategorySales[[#This Row],[SalesPersonID]],tblSalespersonSummary[SalesPersonID],tblSalespersonSummary[SalespersonName],"Not found")</f>
        <v>Garrett Vargas</v>
      </c>
      <c r="M114" t="str">
        <f>IF(tblCategorySales[[#This Row],[SalespersonName]]=tblCategorySales[[#This Row],[ExpectedSalespersonName]],"Match","Mismatch")</f>
        <v>Match</v>
      </c>
    </row>
    <row r="115" spans="1:13" x14ac:dyDescent="0.3">
      <c r="A115">
        <v>278</v>
      </c>
      <c r="B115" t="s">
        <v>21</v>
      </c>
      <c r="C115" t="s">
        <v>22</v>
      </c>
      <c r="D115">
        <v>2012</v>
      </c>
      <c r="E115">
        <v>1</v>
      </c>
      <c r="F115">
        <v>1</v>
      </c>
      <c r="G115" t="s">
        <v>71</v>
      </c>
      <c r="H115">
        <v>19</v>
      </c>
      <c r="I115">
        <v>379</v>
      </c>
      <c r="J115">
        <v>377547.9877</v>
      </c>
      <c r="K115" t="s">
        <v>75</v>
      </c>
      <c r="L115" t="str">
        <f>_xlfn.XLOOKUP(tblCategorySales[[#This Row],[SalesPersonID]],tblSalespersonSummary[SalesPersonID],tblSalespersonSummary[SalespersonName],"Not found")</f>
        <v>Garrett Vargas</v>
      </c>
      <c r="M115" t="str">
        <f>IF(tblCategorySales[[#This Row],[SalespersonName]]=tblCategorySales[[#This Row],[ExpectedSalespersonName]],"Match","Mismatch")</f>
        <v>Match</v>
      </c>
    </row>
    <row r="116" spans="1:13" x14ac:dyDescent="0.3">
      <c r="A116">
        <v>278</v>
      </c>
      <c r="B116" t="s">
        <v>21</v>
      </c>
      <c r="C116" t="s">
        <v>22</v>
      </c>
      <c r="D116">
        <v>2012</v>
      </c>
      <c r="E116">
        <v>1</v>
      </c>
      <c r="F116">
        <v>3</v>
      </c>
      <c r="G116" t="s">
        <v>72</v>
      </c>
      <c r="H116">
        <v>10</v>
      </c>
      <c r="I116">
        <v>116</v>
      </c>
      <c r="J116">
        <v>2016.6053280000001</v>
      </c>
      <c r="K116" t="s">
        <v>75</v>
      </c>
      <c r="L116" t="str">
        <f>_xlfn.XLOOKUP(tblCategorySales[[#This Row],[SalesPersonID]],tblSalespersonSummary[SalesPersonID],tblSalespersonSummary[SalespersonName],"Not found")</f>
        <v>Garrett Vargas</v>
      </c>
      <c r="M116" t="str">
        <f>IF(tblCategorySales[[#This Row],[SalespersonName]]=tblCategorySales[[#This Row],[ExpectedSalespersonName]],"Match","Mismatch")</f>
        <v>Match</v>
      </c>
    </row>
    <row r="117" spans="1:13" x14ac:dyDescent="0.3">
      <c r="A117">
        <v>278</v>
      </c>
      <c r="B117" t="s">
        <v>21</v>
      </c>
      <c r="C117" t="s">
        <v>22</v>
      </c>
      <c r="D117">
        <v>2012</v>
      </c>
      <c r="E117">
        <v>1</v>
      </c>
      <c r="F117">
        <v>2</v>
      </c>
      <c r="G117" t="s">
        <v>73</v>
      </c>
      <c r="H117">
        <v>10</v>
      </c>
      <c r="I117">
        <v>79</v>
      </c>
      <c r="J117">
        <v>30058.4542</v>
      </c>
      <c r="K117" t="s">
        <v>75</v>
      </c>
      <c r="L117" t="str">
        <f>_xlfn.XLOOKUP(tblCategorySales[[#This Row],[SalesPersonID]],tblSalespersonSummary[SalesPersonID],tblSalespersonSummary[SalespersonName],"Not found")</f>
        <v>Garrett Vargas</v>
      </c>
      <c r="M117" t="str">
        <f>IF(tblCategorySales[[#This Row],[SalespersonName]]=tblCategorySales[[#This Row],[ExpectedSalespersonName]],"Match","Mismatch")</f>
        <v>Match</v>
      </c>
    </row>
    <row r="118" spans="1:13" x14ac:dyDescent="0.3">
      <c r="A118">
        <v>277</v>
      </c>
      <c r="B118" t="s">
        <v>23</v>
      </c>
      <c r="C118" t="s">
        <v>24</v>
      </c>
      <c r="D118">
        <v>2012</v>
      </c>
      <c r="E118">
        <v>1</v>
      </c>
      <c r="F118">
        <v>4</v>
      </c>
      <c r="G118" t="s">
        <v>70</v>
      </c>
      <c r="H118">
        <v>15</v>
      </c>
      <c r="I118">
        <v>103</v>
      </c>
      <c r="J118">
        <v>2079.2094999999999</v>
      </c>
      <c r="K118" t="s">
        <v>75</v>
      </c>
      <c r="L118" t="str">
        <f>_xlfn.XLOOKUP(tblCategorySales[[#This Row],[SalesPersonID]],tblSalespersonSummary[SalesPersonID],tblSalespersonSummary[SalespersonName],"Not found")</f>
        <v>Jillian Carson</v>
      </c>
      <c r="M118" t="str">
        <f>IF(tblCategorySales[[#This Row],[SalespersonName]]=tblCategorySales[[#This Row],[ExpectedSalespersonName]],"Match","Mismatch")</f>
        <v>Match</v>
      </c>
    </row>
    <row r="119" spans="1:13" x14ac:dyDescent="0.3">
      <c r="A119">
        <v>277</v>
      </c>
      <c r="B119" t="s">
        <v>23</v>
      </c>
      <c r="C119" t="s">
        <v>24</v>
      </c>
      <c r="D119">
        <v>2012</v>
      </c>
      <c r="E119">
        <v>1</v>
      </c>
      <c r="F119">
        <v>1</v>
      </c>
      <c r="G119" t="s">
        <v>71</v>
      </c>
      <c r="H119">
        <v>37</v>
      </c>
      <c r="I119">
        <v>892</v>
      </c>
      <c r="J119">
        <v>1100220.659</v>
      </c>
      <c r="K119" t="s">
        <v>75</v>
      </c>
      <c r="L119" t="str">
        <f>_xlfn.XLOOKUP(tblCategorySales[[#This Row],[SalesPersonID]],tblSalespersonSummary[SalesPersonID],tblSalespersonSummary[SalespersonName],"Not found")</f>
        <v>Jillian Carson</v>
      </c>
      <c r="M119" t="str">
        <f>IF(tblCategorySales[[#This Row],[SalespersonName]]=tblCategorySales[[#This Row],[ExpectedSalespersonName]],"Match","Mismatch")</f>
        <v>Match</v>
      </c>
    </row>
    <row r="120" spans="1:13" x14ac:dyDescent="0.3">
      <c r="A120">
        <v>277</v>
      </c>
      <c r="B120" t="s">
        <v>23</v>
      </c>
      <c r="C120" t="s">
        <v>24</v>
      </c>
      <c r="D120">
        <v>2012</v>
      </c>
      <c r="E120">
        <v>1</v>
      </c>
      <c r="F120">
        <v>3</v>
      </c>
      <c r="G120" t="s">
        <v>72</v>
      </c>
      <c r="H120">
        <v>24</v>
      </c>
      <c r="I120">
        <v>278</v>
      </c>
      <c r="J120">
        <v>5074.4296999999997</v>
      </c>
      <c r="K120" t="s">
        <v>75</v>
      </c>
      <c r="L120" t="str">
        <f>_xlfn.XLOOKUP(tblCategorySales[[#This Row],[SalesPersonID]],tblSalespersonSummary[SalesPersonID],tblSalespersonSummary[SalespersonName],"Not found")</f>
        <v>Jillian Carson</v>
      </c>
      <c r="M120" t="str">
        <f>IF(tblCategorySales[[#This Row],[SalespersonName]]=tblCategorySales[[#This Row],[ExpectedSalespersonName]],"Match","Mismatch")</f>
        <v>Match</v>
      </c>
    </row>
    <row r="121" spans="1:13" x14ac:dyDescent="0.3">
      <c r="A121">
        <v>277</v>
      </c>
      <c r="B121" t="s">
        <v>23</v>
      </c>
      <c r="C121" t="s">
        <v>24</v>
      </c>
      <c r="D121">
        <v>2012</v>
      </c>
      <c r="E121">
        <v>1</v>
      </c>
      <c r="F121">
        <v>2</v>
      </c>
      <c r="G121" t="s">
        <v>73</v>
      </c>
      <c r="H121">
        <v>17</v>
      </c>
      <c r="I121">
        <v>129</v>
      </c>
      <c r="J121">
        <v>54423.914799999999</v>
      </c>
      <c r="K121" t="s">
        <v>75</v>
      </c>
      <c r="L121" t="str">
        <f>_xlfn.XLOOKUP(tblCategorySales[[#This Row],[SalesPersonID]],tblSalespersonSummary[SalesPersonID],tblSalespersonSummary[SalespersonName],"Not found")</f>
        <v>Jillian Carson</v>
      </c>
      <c r="M121" t="str">
        <f>IF(tblCategorySales[[#This Row],[SalespersonName]]=tblCategorySales[[#This Row],[ExpectedSalespersonName]],"Match","Mismatch")</f>
        <v>Match</v>
      </c>
    </row>
    <row r="122" spans="1:13" x14ac:dyDescent="0.3">
      <c r="A122">
        <v>282</v>
      </c>
      <c r="B122" t="s">
        <v>25</v>
      </c>
      <c r="C122" t="s">
        <v>22</v>
      </c>
      <c r="D122">
        <v>2012</v>
      </c>
      <c r="E122">
        <v>1</v>
      </c>
      <c r="F122">
        <v>4</v>
      </c>
      <c r="G122" t="s">
        <v>70</v>
      </c>
      <c r="H122">
        <v>10</v>
      </c>
      <c r="I122">
        <v>78</v>
      </c>
      <c r="J122">
        <v>1574.547</v>
      </c>
      <c r="K122" t="s">
        <v>75</v>
      </c>
      <c r="L122" t="str">
        <f>_xlfn.XLOOKUP(tblCategorySales[[#This Row],[SalesPersonID]],tblSalespersonSummary[SalesPersonID],tblSalespersonSummary[SalespersonName],"Not found")</f>
        <v>José Saraiva</v>
      </c>
      <c r="M122" t="str">
        <f>IF(tblCategorySales[[#This Row],[SalespersonName]]=tblCategorySales[[#This Row],[ExpectedSalespersonName]],"Match","Mismatch")</f>
        <v>Match</v>
      </c>
    </row>
    <row r="123" spans="1:13" x14ac:dyDescent="0.3">
      <c r="A123">
        <v>282</v>
      </c>
      <c r="B123" t="s">
        <v>25</v>
      </c>
      <c r="C123" t="s">
        <v>22</v>
      </c>
      <c r="D123">
        <v>2012</v>
      </c>
      <c r="E123">
        <v>1</v>
      </c>
      <c r="F123">
        <v>1</v>
      </c>
      <c r="G123" t="s">
        <v>71</v>
      </c>
      <c r="H123">
        <v>38</v>
      </c>
      <c r="I123">
        <v>719</v>
      </c>
      <c r="J123">
        <v>734488.48337999999</v>
      </c>
      <c r="K123" t="s">
        <v>75</v>
      </c>
      <c r="L123" t="str">
        <f>_xlfn.XLOOKUP(tblCategorySales[[#This Row],[SalesPersonID]],tblSalespersonSummary[SalesPersonID],tblSalespersonSummary[SalespersonName],"Not found")</f>
        <v>José Saraiva</v>
      </c>
      <c r="M123" t="str">
        <f>IF(tblCategorySales[[#This Row],[SalespersonName]]=tblCategorySales[[#This Row],[ExpectedSalespersonName]],"Match","Mismatch")</f>
        <v>Match</v>
      </c>
    </row>
    <row r="124" spans="1:13" x14ac:dyDescent="0.3">
      <c r="A124">
        <v>282</v>
      </c>
      <c r="B124" t="s">
        <v>25</v>
      </c>
      <c r="C124" t="s">
        <v>22</v>
      </c>
      <c r="D124">
        <v>2012</v>
      </c>
      <c r="E124">
        <v>1</v>
      </c>
      <c r="F124">
        <v>3</v>
      </c>
      <c r="G124" t="s">
        <v>72</v>
      </c>
      <c r="H124">
        <v>22</v>
      </c>
      <c r="I124">
        <v>183</v>
      </c>
      <c r="J124">
        <v>3142.0038920000002</v>
      </c>
      <c r="K124" t="s">
        <v>75</v>
      </c>
      <c r="L124" t="str">
        <f>_xlfn.XLOOKUP(tblCategorySales[[#This Row],[SalesPersonID]],tblSalespersonSummary[SalesPersonID],tblSalespersonSummary[SalespersonName],"Not found")</f>
        <v>José Saraiva</v>
      </c>
      <c r="M124" t="str">
        <f>IF(tblCategorySales[[#This Row],[SalespersonName]]=tblCategorySales[[#This Row],[ExpectedSalespersonName]],"Match","Mismatch")</f>
        <v>Match</v>
      </c>
    </row>
    <row r="125" spans="1:13" x14ac:dyDescent="0.3">
      <c r="A125">
        <v>282</v>
      </c>
      <c r="B125" t="s">
        <v>25</v>
      </c>
      <c r="C125" t="s">
        <v>22</v>
      </c>
      <c r="D125">
        <v>2012</v>
      </c>
      <c r="E125">
        <v>1</v>
      </c>
      <c r="F125">
        <v>2</v>
      </c>
      <c r="G125" t="s">
        <v>73</v>
      </c>
      <c r="H125">
        <v>19</v>
      </c>
      <c r="I125">
        <v>156</v>
      </c>
      <c r="J125">
        <v>56655.598700000002</v>
      </c>
      <c r="K125" t="s">
        <v>75</v>
      </c>
      <c r="L125" t="str">
        <f>_xlfn.XLOOKUP(tblCategorySales[[#This Row],[SalesPersonID]],tblSalespersonSummary[SalesPersonID],tblSalespersonSummary[SalespersonName],"Not found")</f>
        <v>José Saraiva</v>
      </c>
      <c r="M125" t="str">
        <f>IF(tblCategorySales[[#This Row],[SalespersonName]]=tblCategorySales[[#This Row],[ExpectedSalespersonName]],"Match","Mismatch")</f>
        <v>Match</v>
      </c>
    </row>
    <row r="126" spans="1:13" x14ac:dyDescent="0.3">
      <c r="A126">
        <v>276</v>
      </c>
      <c r="B126" t="s">
        <v>26</v>
      </c>
      <c r="C126" t="s">
        <v>27</v>
      </c>
      <c r="D126">
        <v>2012</v>
      </c>
      <c r="E126">
        <v>1</v>
      </c>
      <c r="F126">
        <v>4</v>
      </c>
      <c r="G126" t="s">
        <v>70</v>
      </c>
      <c r="H126">
        <v>13</v>
      </c>
      <c r="I126">
        <v>91</v>
      </c>
      <c r="J126">
        <v>1836.9715000000001</v>
      </c>
      <c r="K126" t="s">
        <v>75</v>
      </c>
      <c r="L126" t="str">
        <f>_xlfn.XLOOKUP(tblCategorySales[[#This Row],[SalesPersonID]],tblSalespersonSummary[SalesPersonID],tblSalespersonSummary[SalespersonName],"Not found")</f>
        <v>Linda Mitchell</v>
      </c>
      <c r="M126" t="str">
        <f>IF(tblCategorySales[[#This Row],[SalespersonName]]=tblCategorySales[[#This Row],[ExpectedSalespersonName]],"Match","Mismatch")</f>
        <v>Match</v>
      </c>
    </row>
    <row r="127" spans="1:13" x14ac:dyDescent="0.3">
      <c r="A127">
        <v>276</v>
      </c>
      <c r="B127" t="s">
        <v>26</v>
      </c>
      <c r="C127" t="s">
        <v>27</v>
      </c>
      <c r="D127">
        <v>2012</v>
      </c>
      <c r="E127">
        <v>1</v>
      </c>
      <c r="F127">
        <v>1</v>
      </c>
      <c r="G127" t="s">
        <v>71</v>
      </c>
      <c r="H127">
        <v>35</v>
      </c>
      <c r="I127">
        <v>677</v>
      </c>
      <c r="J127">
        <v>938838.31406</v>
      </c>
      <c r="K127" t="s">
        <v>75</v>
      </c>
      <c r="L127" t="str">
        <f>_xlfn.XLOOKUP(tblCategorySales[[#This Row],[SalesPersonID]],tblSalespersonSummary[SalesPersonID],tblSalespersonSummary[SalespersonName],"Not found")</f>
        <v>Linda Mitchell</v>
      </c>
      <c r="M127" t="str">
        <f>IF(tblCategorySales[[#This Row],[SalespersonName]]=tblCategorySales[[#This Row],[ExpectedSalespersonName]],"Match","Mismatch")</f>
        <v>Match</v>
      </c>
    </row>
    <row r="128" spans="1:13" x14ac:dyDescent="0.3">
      <c r="A128">
        <v>276</v>
      </c>
      <c r="B128" t="s">
        <v>26</v>
      </c>
      <c r="C128" t="s">
        <v>27</v>
      </c>
      <c r="D128">
        <v>2012</v>
      </c>
      <c r="E128">
        <v>1</v>
      </c>
      <c r="F128">
        <v>3</v>
      </c>
      <c r="G128" t="s">
        <v>72</v>
      </c>
      <c r="H128">
        <v>23</v>
      </c>
      <c r="I128">
        <v>218</v>
      </c>
      <c r="J128">
        <v>3356.53395</v>
      </c>
      <c r="K128" t="s">
        <v>75</v>
      </c>
      <c r="L128" t="str">
        <f>_xlfn.XLOOKUP(tblCategorySales[[#This Row],[SalesPersonID]],tblSalespersonSummary[SalesPersonID],tblSalespersonSummary[SalespersonName],"Not found")</f>
        <v>Linda Mitchell</v>
      </c>
      <c r="M128" t="str">
        <f>IF(tblCategorySales[[#This Row],[SalespersonName]]=tblCategorySales[[#This Row],[ExpectedSalespersonName]],"Match","Mismatch")</f>
        <v>Match</v>
      </c>
    </row>
    <row r="129" spans="1:13" x14ac:dyDescent="0.3">
      <c r="A129">
        <v>276</v>
      </c>
      <c r="B129" t="s">
        <v>26</v>
      </c>
      <c r="C129" t="s">
        <v>27</v>
      </c>
      <c r="D129">
        <v>2012</v>
      </c>
      <c r="E129">
        <v>1</v>
      </c>
      <c r="F129">
        <v>2</v>
      </c>
      <c r="G129" t="s">
        <v>73</v>
      </c>
      <c r="H129">
        <v>19</v>
      </c>
      <c r="I129">
        <v>102</v>
      </c>
      <c r="J129">
        <v>46982.008099999999</v>
      </c>
      <c r="K129" t="s">
        <v>75</v>
      </c>
      <c r="L129" t="str">
        <f>_xlfn.XLOOKUP(tblCategorySales[[#This Row],[SalesPersonID]],tblSalespersonSummary[SalesPersonID],tblSalespersonSummary[SalespersonName],"Not found")</f>
        <v>Linda Mitchell</v>
      </c>
      <c r="M129" t="str">
        <f>IF(tblCategorySales[[#This Row],[SalespersonName]]=tblCategorySales[[#This Row],[ExpectedSalespersonName]],"Match","Mismatch")</f>
        <v>Match</v>
      </c>
    </row>
    <row r="130" spans="1:13" x14ac:dyDescent="0.3">
      <c r="A130">
        <v>275</v>
      </c>
      <c r="B130" t="s">
        <v>28</v>
      </c>
      <c r="C130" t="s">
        <v>29</v>
      </c>
      <c r="D130">
        <v>2012</v>
      </c>
      <c r="E130">
        <v>1</v>
      </c>
      <c r="F130">
        <v>4</v>
      </c>
      <c r="G130" t="s">
        <v>70</v>
      </c>
      <c r="H130">
        <v>7</v>
      </c>
      <c r="I130">
        <v>38</v>
      </c>
      <c r="J130">
        <v>767.08699999999999</v>
      </c>
      <c r="K130" t="s">
        <v>75</v>
      </c>
      <c r="L130" t="str">
        <f>_xlfn.XLOOKUP(tblCategorySales[[#This Row],[SalesPersonID]],tblSalespersonSummary[SalesPersonID],tblSalespersonSummary[SalespersonName],"Not found")</f>
        <v>Michael Blythe</v>
      </c>
      <c r="M130" t="str">
        <f>IF(tblCategorySales[[#This Row],[SalespersonName]]=tblCategorySales[[#This Row],[ExpectedSalespersonName]],"Match","Mismatch")</f>
        <v>Match</v>
      </c>
    </row>
    <row r="131" spans="1:13" x14ac:dyDescent="0.3">
      <c r="A131">
        <v>275</v>
      </c>
      <c r="B131" t="s">
        <v>28</v>
      </c>
      <c r="C131" t="s">
        <v>29</v>
      </c>
      <c r="D131">
        <v>2012</v>
      </c>
      <c r="E131">
        <v>1</v>
      </c>
      <c r="F131">
        <v>1</v>
      </c>
      <c r="G131" t="s">
        <v>71</v>
      </c>
      <c r="H131">
        <v>36</v>
      </c>
      <c r="I131">
        <v>606</v>
      </c>
      <c r="J131">
        <v>559493.86010000005</v>
      </c>
      <c r="K131" t="s">
        <v>75</v>
      </c>
      <c r="L131" t="str">
        <f>_xlfn.XLOOKUP(tblCategorySales[[#This Row],[SalesPersonID]],tblSalespersonSummary[SalesPersonID],tblSalespersonSummary[SalespersonName],"Not found")</f>
        <v>Michael Blythe</v>
      </c>
      <c r="M131" t="str">
        <f>IF(tblCategorySales[[#This Row],[SalespersonName]]=tblCategorySales[[#This Row],[ExpectedSalespersonName]],"Match","Mismatch")</f>
        <v>Match</v>
      </c>
    </row>
    <row r="132" spans="1:13" x14ac:dyDescent="0.3">
      <c r="A132">
        <v>275</v>
      </c>
      <c r="B132" t="s">
        <v>28</v>
      </c>
      <c r="C132" t="s">
        <v>29</v>
      </c>
      <c r="D132">
        <v>2012</v>
      </c>
      <c r="E132">
        <v>1</v>
      </c>
      <c r="F132">
        <v>3</v>
      </c>
      <c r="G132" t="s">
        <v>72</v>
      </c>
      <c r="H132">
        <v>17</v>
      </c>
      <c r="I132">
        <v>109</v>
      </c>
      <c r="J132">
        <v>1904.8384000000001</v>
      </c>
      <c r="K132" t="s">
        <v>75</v>
      </c>
      <c r="L132" t="str">
        <f>_xlfn.XLOOKUP(tblCategorySales[[#This Row],[SalesPersonID]],tblSalespersonSummary[SalesPersonID],tblSalespersonSummary[SalespersonName],"Not found")</f>
        <v>Michael Blythe</v>
      </c>
      <c r="M132" t="str">
        <f>IF(tblCategorySales[[#This Row],[SalespersonName]]=tblCategorySales[[#This Row],[ExpectedSalespersonName]],"Match","Mismatch")</f>
        <v>Match</v>
      </c>
    </row>
    <row r="133" spans="1:13" x14ac:dyDescent="0.3">
      <c r="A133">
        <v>275</v>
      </c>
      <c r="B133" t="s">
        <v>28</v>
      </c>
      <c r="C133" t="s">
        <v>29</v>
      </c>
      <c r="D133">
        <v>2012</v>
      </c>
      <c r="E133">
        <v>1</v>
      </c>
      <c r="F133">
        <v>2</v>
      </c>
      <c r="G133" t="s">
        <v>73</v>
      </c>
      <c r="H133">
        <v>19</v>
      </c>
      <c r="I133">
        <v>127</v>
      </c>
      <c r="J133">
        <v>37863.6967</v>
      </c>
      <c r="K133" t="s">
        <v>75</v>
      </c>
      <c r="L133" t="str">
        <f>_xlfn.XLOOKUP(tblCategorySales[[#This Row],[SalesPersonID]],tblSalespersonSummary[SalesPersonID],tblSalespersonSummary[SalespersonName],"Not found")</f>
        <v>Michael Blythe</v>
      </c>
      <c r="M133" t="str">
        <f>IF(tblCategorySales[[#This Row],[SalespersonName]]=tblCategorySales[[#This Row],[ExpectedSalespersonName]],"Match","Mismatch")</f>
        <v>Match</v>
      </c>
    </row>
    <row r="134" spans="1:13" x14ac:dyDescent="0.3">
      <c r="A134">
        <v>280</v>
      </c>
      <c r="B134" t="s">
        <v>30</v>
      </c>
      <c r="C134" t="s">
        <v>16</v>
      </c>
      <c r="D134">
        <v>2012</v>
      </c>
      <c r="E134">
        <v>1</v>
      </c>
      <c r="F134">
        <v>4</v>
      </c>
      <c r="G134" t="s">
        <v>70</v>
      </c>
      <c r="H134">
        <v>7</v>
      </c>
      <c r="I134">
        <v>38</v>
      </c>
      <c r="J134">
        <v>767.08699999999999</v>
      </c>
      <c r="K134" t="s">
        <v>75</v>
      </c>
      <c r="L134" t="str">
        <f>_xlfn.XLOOKUP(tblCategorySales[[#This Row],[SalesPersonID]],tblSalespersonSummary[SalesPersonID],tblSalespersonSummary[SalespersonName],"Not found")</f>
        <v>Pamela Ansman-Wolfe</v>
      </c>
      <c r="M134" t="str">
        <f>IF(tblCategorySales[[#This Row],[SalespersonName]]=tblCategorySales[[#This Row],[ExpectedSalespersonName]],"Match","Mismatch")</f>
        <v>Match</v>
      </c>
    </row>
    <row r="135" spans="1:13" x14ac:dyDescent="0.3">
      <c r="A135">
        <v>280</v>
      </c>
      <c r="B135" t="s">
        <v>30</v>
      </c>
      <c r="C135" t="s">
        <v>16</v>
      </c>
      <c r="D135">
        <v>2012</v>
      </c>
      <c r="E135">
        <v>1</v>
      </c>
      <c r="F135">
        <v>1</v>
      </c>
      <c r="G135" t="s">
        <v>71</v>
      </c>
      <c r="H135">
        <v>18</v>
      </c>
      <c r="I135">
        <v>376</v>
      </c>
      <c r="J135">
        <v>490730.28759999998</v>
      </c>
      <c r="K135" t="s">
        <v>75</v>
      </c>
      <c r="L135" t="str">
        <f>_xlfn.XLOOKUP(tblCategorySales[[#This Row],[SalesPersonID]],tblSalespersonSummary[SalesPersonID],tblSalespersonSummary[SalespersonName],"Not found")</f>
        <v>Pamela Ansman-Wolfe</v>
      </c>
      <c r="M135" t="str">
        <f>IF(tblCategorySales[[#This Row],[SalespersonName]]=tblCategorySales[[#This Row],[ExpectedSalespersonName]],"Match","Mismatch")</f>
        <v>Match</v>
      </c>
    </row>
    <row r="136" spans="1:13" x14ac:dyDescent="0.3">
      <c r="A136">
        <v>280</v>
      </c>
      <c r="B136" t="s">
        <v>30</v>
      </c>
      <c r="C136" t="s">
        <v>16</v>
      </c>
      <c r="D136">
        <v>2012</v>
      </c>
      <c r="E136">
        <v>1</v>
      </c>
      <c r="F136">
        <v>3</v>
      </c>
      <c r="G136" t="s">
        <v>72</v>
      </c>
      <c r="H136">
        <v>15</v>
      </c>
      <c r="I136">
        <v>121</v>
      </c>
      <c r="J136">
        <v>1748.1198999999999</v>
      </c>
      <c r="K136" t="s">
        <v>75</v>
      </c>
      <c r="L136" t="str">
        <f>_xlfn.XLOOKUP(tblCategorySales[[#This Row],[SalesPersonID]],tblSalespersonSummary[SalesPersonID],tblSalespersonSummary[SalespersonName],"Not found")</f>
        <v>Pamela Ansman-Wolfe</v>
      </c>
      <c r="M136" t="str">
        <f>IF(tblCategorySales[[#This Row],[SalespersonName]]=tblCategorySales[[#This Row],[ExpectedSalespersonName]],"Match","Mismatch")</f>
        <v>Match</v>
      </c>
    </row>
    <row r="137" spans="1:13" x14ac:dyDescent="0.3">
      <c r="A137">
        <v>280</v>
      </c>
      <c r="B137" t="s">
        <v>30</v>
      </c>
      <c r="C137" t="s">
        <v>16</v>
      </c>
      <c r="D137">
        <v>2012</v>
      </c>
      <c r="E137">
        <v>1</v>
      </c>
      <c r="F137">
        <v>2</v>
      </c>
      <c r="G137" t="s">
        <v>73</v>
      </c>
      <c r="H137">
        <v>9</v>
      </c>
      <c r="I137">
        <v>45</v>
      </c>
      <c r="J137">
        <v>25753.613799999999</v>
      </c>
      <c r="K137" t="s">
        <v>75</v>
      </c>
      <c r="L137" t="str">
        <f>_xlfn.XLOOKUP(tblCategorySales[[#This Row],[SalesPersonID]],tblSalespersonSummary[SalesPersonID],tblSalespersonSummary[SalespersonName],"Not found")</f>
        <v>Pamela Ansman-Wolfe</v>
      </c>
      <c r="M137" t="str">
        <f>IF(tblCategorySales[[#This Row],[SalespersonName]]=tblCategorySales[[#This Row],[ExpectedSalespersonName]],"Match","Mismatch")</f>
        <v>Match</v>
      </c>
    </row>
    <row r="138" spans="1:13" x14ac:dyDescent="0.3">
      <c r="A138">
        <v>281</v>
      </c>
      <c r="B138" t="s">
        <v>31</v>
      </c>
      <c r="C138" t="s">
        <v>27</v>
      </c>
      <c r="D138">
        <v>2012</v>
      </c>
      <c r="E138">
        <v>1</v>
      </c>
      <c r="F138">
        <v>4</v>
      </c>
      <c r="G138" t="s">
        <v>70</v>
      </c>
      <c r="H138">
        <v>9</v>
      </c>
      <c r="I138">
        <v>70</v>
      </c>
      <c r="J138">
        <v>1413.0550000000001</v>
      </c>
      <c r="K138" t="s">
        <v>75</v>
      </c>
      <c r="L138" t="str">
        <f>_xlfn.XLOOKUP(tblCategorySales[[#This Row],[SalesPersonID]],tblSalespersonSummary[SalesPersonID],tblSalespersonSummary[SalespersonName],"Not found")</f>
        <v>Shu Ito</v>
      </c>
      <c r="M138" t="str">
        <f>IF(tblCategorySales[[#This Row],[SalespersonName]]=tblCategorySales[[#This Row],[ExpectedSalespersonName]],"Match","Mismatch")</f>
        <v>Match</v>
      </c>
    </row>
    <row r="139" spans="1:13" x14ac:dyDescent="0.3">
      <c r="A139">
        <v>281</v>
      </c>
      <c r="B139" t="s">
        <v>31</v>
      </c>
      <c r="C139" t="s">
        <v>27</v>
      </c>
      <c r="D139">
        <v>2012</v>
      </c>
      <c r="E139">
        <v>1</v>
      </c>
      <c r="F139">
        <v>1</v>
      </c>
      <c r="G139" t="s">
        <v>71</v>
      </c>
      <c r="H139">
        <v>14</v>
      </c>
      <c r="I139">
        <v>377</v>
      </c>
      <c r="J139">
        <v>476661.5992</v>
      </c>
      <c r="K139" t="s">
        <v>75</v>
      </c>
      <c r="L139" t="str">
        <f>_xlfn.XLOOKUP(tblCategorySales[[#This Row],[SalesPersonID]],tblSalespersonSummary[SalesPersonID],tblSalespersonSummary[SalespersonName],"Not found")</f>
        <v>Shu Ito</v>
      </c>
      <c r="M139" t="str">
        <f>IF(tblCategorySales[[#This Row],[SalespersonName]]=tblCategorySales[[#This Row],[ExpectedSalespersonName]],"Match","Mismatch")</f>
        <v>Match</v>
      </c>
    </row>
    <row r="140" spans="1:13" x14ac:dyDescent="0.3">
      <c r="A140">
        <v>281</v>
      </c>
      <c r="B140" t="s">
        <v>31</v>
      </c>
      <c r="C140" t="s">
        <v>27</v>
      </c>
      <c r="D140">
        <v>2012</v>
      </c>
      <c r="E140">
        <v>1</v>
      </c>
      <c r="F140">
        <v>3</v>
      </c>
      <c r="G140" t="s">
        <v>72</v>
      </c>
      <c r="H140">
        <v>14</v>
      </c>
      <c r="I140">
        <v>109</v>
      </c>
      <c r="J140">
        <v>1923.8707999999999</v>
      </c>
      <c r="K140" t="s">
        <v>75</v>
      </c>
      <c r="L140" t="str">
        <f>_xlfn.XLOOKUP(tblCategorySales[[#This Row],[SalesPersonID]],tblSalespersonSummary[SalesPersonID],tblSalespersonSummary[SalespersonName],"Not found")</f>
        <v>Shu Ito</v>
      </c>
      <c r="M140" t="str">
        <f>IF(tblCategorySales[[#This Row],[SalespersonName]]=tblCategorySales[[#This Row],[ExpectedSalespersonName]],"Match","Mismatch")</f>
        <v>Match</v>
      </c>
    </row>
    <row r="141" spans="1:13" x14ac:dyDescent="0.3">
      <c r="A141">
        <v>281</v>
      </c>
      <c r="B141" t="s">
        <v>31</v>
      </c>
      <c r="C141" t="s">
        <v>27</v>
      </c>
      <c r="D141">
        <v>2012</v>
      </c>
      <c r="E141">
        <v>1</v>
      </c>
      <c r="F141">
        <v>2</v>
      </c>
      <c r="G141" t="s">
        <v>73</v>
      </c>
      <c r="H141">
        <v>8</v>
      </c>
      <c r="I141">
        <v>78</v>
      </c>
      <c r="J141">
        <v>31480.8207</v>
      </c>
      <c r="K141" t="s">
        <v>75</v>
      </c>
      <c r="L141" t="str">
        <f>_xlfn.XLOOKUP(tblCategorySales[[#This Row],[SalesPersonID]],tblSalespersonSummary[SalesPersonID],tblSalespersonSummary[SalespersonName],"Not found")</f>
        <v>Shu Ito</v>
      </c>
      <c r="M141" t="str">
        <f>IF(tblCategorySales[[#This Row],[SalespersonName]]=tblCategorySales[[#This Row],[ExpectedSalespersonName]],"Match","Mismatch")</f>
        <v>Match</v>
      </c>
    </row>
    <row r="142" spans="1:13" x14ac:dyDescent="0.3">
      <c r="A142">
        <v>274</v>
      </c>
      <c r="B142" t="s">
        <v>32</v>
      </c>
      <c r="C142" t="s">
        <v>33</v>
      </c>
      <c r="D142">
        <v>2012</v>
      </c>
      <c r="E142">
        <v>1</v>
      </c>
      <c r="F142">
        <v>1</v>
      </c>
      <c r="G142" t="s">
        <v>71</v>
      </c>
      <c r="H142">
        <v>4</v>
      </c>
      <c r="I142">
        <v>89</v>
      </c>
      <c r="J142">
        <v>109965.5882</v>
      </c>
      <c r="K142" t="s">
        <v>74</v>
      </c>
      <c r="L142" t="str">
        <f>_xlfn.XLOOKUP(tblCategorySales[[#This Row],[SalesPersonID]],tblSalespersonSummary[SalesPersonID],tblSalespersonSummary[SalespersonName],"Not found")</f>
        <v>Stephen Jiang</v>
      </c>
      <c r="M142" t="str">
        <f>IF(tblCategorySales[[#This Row],[SalespersonName]]=tblCategorySales[[#This Row],[ExpectedSalespersonName]],"Match","Mismatch")</f>
        <v>Match</v>
      </c>
    </row>
    <row r="143" spans="1:13" x14ac:dyDescent="0.3">
      <c r="A143">
        <v>274</v>
      </c>
      <c r="B143" t="s">
        <v>32</v>
      </c>
      <c r="C143" t="s">
        <v>33</v>
      </c>
      <c r="D143">
        <v>2012</v>
      </c>
      <c r="E143">
        <v>1</v>
      </c>
      <c r="F143">
        <v>3</v>
      </c>
      <c r="G143" t="s">
        <v>72</v>
      </c>
      <c r="H143">
        <v>4</v>
      </c>
      <c r="I143">
        <v>16</v>
      </c>
      <c r="J143">
        <v>88.632499999999993</v>
      </c>
      <c r="K143" t="s">
        <v>74</v>
      </c>
      <c r="L143" t="str">
        <f>_xlfn.XLOOKUP(tblCategorySales[[#This Row],[SalesPersonID]],tblSalespersonSummary[SalesPersonID],tblSalespersonSummary[SalespersonName],"Not found")</f>
        <v>Stephen Jiang</v>
      </c>
      <c r="M143" t="str">
        <f>IF(tblCategorySales[[#This Row],[SalespersonName]]=tblCategorySales[[#This Row],[ExpectedSalespersonName]],"Match","Mismatch")</f>
        <v>Match</v>
      </c>
    </row>
    <row r="144" spans="1:13" x14ac:dyDescent="0.3">
      <c r="A144">
        <v>274</v>
      </c>
      <c r="B144" t="s">
        <v>32</v>
      </c>
      <c r="C144" t="s">
        <v>33</v>
      </c>
      <c r="D144">
        <v>2012</v>
      </c>
      <c r="E144">
        <v>1</v>
      </c>
      <c r="F144">
        <v>2</v>
      </c>
      <c r="G144" t="s">
        <v>73</v>
      </c>
      <c r="H144">
        <v>1</v>
      </c>
      <c r="I144">
        <v>4</v>
      </c>
      <c r="J144">
        <v>2866.7078000000001</v>
      </c>
      <c r="K144" t="s">
        <v>74</v>
      </c>
      <c r="L144" t="str">
        <f>_xlfn.XLOOKUP(tblCategorySales[[#This Row],[SalesPersonID]],tblSalespersonSummary[SalesPersonID],tblSalespersonSummary[SalespersonName],"Not found")</f>
        <v>Stephen Jiang</v>
      </c>
      <c r="M144" t="str">
        <f>IF(tblCategorySales[[#This Row],[SalespersonName]]=tblCategorySales[[#This Row],[ExpectedSalespersonName]],"Match","Mismatch")</f>
        <v>Match</v>
      </c>
    </row>
    <row r="145" spans="1:13" x14ac:dyDescent="0.3">
      <c r="A145">
        <v>279</v>
      </c>
      <c r="B145" t="s">
        <v>34</v>
      </c>
      <c r="C145" t="s">
        <v>35</v>
      </c>
      <c r="D145">
        <v>2012</v>
      </c>
      <c r="E145">
        <v>1</v>
      </c>
      <c r="F145">
        <v>4</v>
      </c>
      <c r="G145" t="s">
        <v>70</v>
      </c>
      <c r="H145">
        <v>14</v>
      </c>
      <c r="I145">
        <v>96</v>
      </c>
      <c r="J145">
        <v>1937.904</v>
      </c>
      <c r="K145" t="s">
        <v>75</v>
      </c>
      <c r="L145" t="str">
        <f>_xlfn.XLOOKUP(tblCategorySales[[#This Row],[SalesPersonID]],tblSalespersonSummary[SalesPersonID],tblSalespersonSummary[SalespersonName],"Not found")</f>
        <v>Tsvi Reiter</v>
      </c>
      <c r="M145" t="str">
        <f>IF(tblCategorySales[[#This Row],[SalespersonName]]=tblCategorySales[[#This Row],[ExpectedSalespersonName]],"Match","Mismatch")</f>
        <v>Match</v>
      </c>
    </row>
    <row r="146" spans="1:13" x14ac:dyDescent="0.3">
      <c r="A146">
        <v>279</v>
      </c>
      <c r="B146" t="s">
        <v>34</v>
      </c>
      <c r="C146" t="s">
        <v>35</v>
      </c>
      <c r="D146">
        <v>2012</v>
      </c>
      <c r="E146">
        <v>1</v>
      </c>
      <c r="F146">
        <v>1</v>
      </c>
      <c r="G146" t="s">
        <v>71</v>
      </c>
      <c r="H146">
        <v>37</v>
      </c>
      <c r="I146">
        <v>721</v>
      </c>
      <c r="J146">
        <v>922937.40619200002</v>
      </c>
      <c r="K146" t="s">
        <v>75</v>
      </c>
      <c r="L146" t="str">
        <f>_xlfn.XLOOKUP(tblCategorySales[[#This Row],[SalesPersonID]],tblSalespersonSummary[SalesPersonID],tblSalespersonSummary[SalespersonName],"Not found")</f>
        <v>Tsvi Reiter</v>
      </c>
      <c r="M146" t="str">
        <f>IF(tblCategorySales[[#This Row],[SalespersonName]]=tblCategorySales[[#This Row],[ExpectedSalespersonName]],"Match","Mismatch")</f>
        <v>Match</v>
      </c>
    </row>
    <row r="147" spans="1:13" x14ac:dyDescent="0.3">
      <c r="A147">
        <v>279</v>
      </c>
      <c r="B147" t="s">
        <v>34</v>
      </c>
      <c r="C147" t="s">
        <v>35</v>
      </c>
      <c r="D147">
        <v>2012</v>
      </c>
      <c r="E147">
        <v>1</v>
      </c>
      <c r="F147">
        <v>3</v>
      </c>
      <c r="G147" t="s">
        <v>72</v>
      </c>
      <c r="H147">
        <v>22</v>
      </c>
      <c r="I147">
        <v>190</v>
      </c>
      <c r="J147">
        <v>2956.8917999999999</v>
      </c>
      <c r="K147" t="s">
        <v>75</v>
      </c>
      <c r="L147" t="str">
        <f>_xlfn.XLOOKUP(tblCategorySales[[#This Row],[SalesPersonID]],tblSalespersonSummary[SalesPersonID],tblSalespersonSummary[SalespersonName],"Not found")</f>
        <v>Tsvi Reiter</v>
      </c>
      <c r="M147" t="str">
        <f>IF(tblCategorySales[[#This Row],[SalespersonName]]=tblCategorySales[[#This Row],[ExpectedSalespersonName]],"Match","Mismatch")</f>
        <v>Match</v>
      </c>
    </row>
    <row r="148" spans="1:13" x14ac:dyDescent="0.3">
      <c r="A148">
        <v>279</v>
      </c>
      <c r="B148" t="s">
        <v>34</v>
      </c>
      <c r="C148" t="s">
        <v>35</v>
      </c>
      <c r="D148">
        <v>2012</v>
      </c>
      <c r="E148">
        <v>1</v>
      </c>
      <c r="F148">
        <v>2</v>
      </c>
      <c r="G148" t="s">
        <v>73</v>
      </c>
      <c r="H148">
        <v>24</v>
      </c>
      <c r="I148">
        <v>170</v>
      </c>
      <c r="J148">
        <v>80100.927100000001</v>
      </c>
      <c r="K148" t="s">
        <v>75</v>
      </c>
      <c r="L148" t="str">
        <f>_xlfn.XLOOKUP(tblCategorySales[[#This Row],[SalesPersonID]],tblSalespersonSummary[SalesPersonID],tblSalespersonSummary[SalespersonName],"Not found")</f>
        <v>Tsvi Reiter</v>
      </c>
      <c r="M148" t="str">
        <f>IF(tblCategorySales[[#This Row],[SalespersonName]]=tblCategorySales[[#This Row],[ExpectedSalespersonName]],"Match","Mismatch")</f>
        <v>Match</v>
      </c>
    </row>
    <row r="149" spans="1:13" x14ac:dyDescent="0.3">
      <c r="A149">
        <v>287</v>
      </c>
      <c r="B149" t="s">
        <v>42</v>
      </c>
      <c r="C149" t="s">
        <v>33</v>
      </c>
      <c r="D149">
        <v>2012</v>
      </c>
      <c r="E149">
        <v>2</v>
      </c>
      <c r="F149">
        <v>4</v>
      </c>
      <c r="G149" t="s">
        <v>70</v>
      </c>
      <c r="H149">
        <v>1</v>
      </c>
      <c r="I149">
        <v>27</v>
      </c>
      <c r="J149">
        <v>497.53149999999999</v>
      </c>
      <c r="K149" t="s">
        <v>74</v>
      </c>
      <c r="L149" t="str">
        <f>_xlfn.XLOOKUP(tblCategorySales[[#This Row],[SalesPersonID]],tblSalespersonSummary[SalesPersonID],tblSalespersonSummary[SalespersonName],"Not found")</f>
        <v>Amy Alberts</v>
      </c>
      <c r="M149" t="str">
        <f>IF(tblCategorySales[[#This Row],[SalespersonName]]=tblCategorySales[[#This Row],[ExpectedSalespersonName]],"Match","Mismatch")</f>
        <v>Match</v>
      </c>
    </row>
    <row r="150" spans="1:13" x14ac:dyDescent="0.3">
      <c r="A150">
        <v>287</v>
      </c>
      <c r="B150" t="s">
        <v>42</v>
      </c>
      <c r="C150" t="s">
        <v>33</v>
      </c>
      <c r="D150">
        <v>2012</v>
      </c>
      <c r="E150">
        <v>2</v>
      </c>
      <c r="F150">
        <v>1</v>
      </c>
      <c r="G150" t="s">
        <v>71</v>
      </c>
      <c r="H150">
        <v>2</v>
      </c>
      <c r="I150">
        <v>49</v>
      </c>
      <c r="J150">
        <v>52317.263899999998</v>
      </c>
      <c r="K150" t="s">
        <v>74</v>
      </c>
      <c r="L150" t="str">
        <f>_xlfn.XLOOKUP(tblCategorySales[[#This Row],[SalesPersonID]],tblSalespersonSummary[SalesPersonID],tblSalespersonSummary[SalespersonName],"Not found")</f>
        <v>Amy Alberts</v>
      </c>
      <c r="M150" t="str">
        <f>IF(tblCategorySales[[#This Row],[SalespersonName]]=tblCategorySales[[#This Row],[ExpectedSalespersonName]],"Match","Mismatch")</f>
        <v>Match</v>
      </c>
    </row>
    <row r="151" spans="1:13" x14ac:dyDescent="0.3">
      <c r="A151">
        <v>287</v>
      </c>
      <c r="B151" t="s">
        <v>42</v>
      </c>
      <c r="C151" t="s">
        <v>33</v>
      </c>
      <c r="D151">
        <v>2012</v>
      </c>
      <c r="E151">
        <v>2</v>
      </c>
      <c r="F151">
        <v>3</v>
      </c>
      <c r="G151" t="s">
        <v>72</v>
      </c>
      <c r="H151">
        <v>2</v>
      </c>
      <c r="I151">
        <v>139</v>
      </c>
      <c r="J151">
        <v>3973.6392879999999</v>
      </c>
      <c r="K151" t="s">
        <v>74</v>
      </c>
      <c r="L151" t="str">
        <f>_xlfn.XLOOKUP(tblCategorySales[[#This Row],[SalesPersonID]],tblSalespersonSummary[SalesPersonID],tblSalespersonSummary[SalespersonName],"Not found")</f>
        <v>Amy Alberts</v>
      </c>
      <c r="M151" t="str">
        <f>IF(tblCategorySales[[#This Row],[SalespersonName]]=tblCategorySales[[#This Row],[ExpectedSalespersonName]],"Match","Mismatch")</f>
        <v>Match</v>
      </c>
    </row>
    <row r="152" spans="1:13" x14ac:dyDescent="0.3">
      <c r="A152">
        <v>287</v>
      </c>
      <c r="B152" t="s">
        <v>42</v>
      </c>
      <c r="C152" t="s">
        <v>33</v>
      </c>
      <c r="D152">
        <v>2012</v>
      </c>
      <c r="E152">
        <v>2</v>
      </c>
      <c r="F152">
        <v>2</v>
      </c>
      <c r="G152" t="s">
        <v>73</v>
      </c>
      <c r="H152">
        <v>3</v>
      </c>
      <c r="I152">
        <v>73</v>
      </c>
      <c r="J152">
        <v>16944.033800000001</v>
      </c>
      <c r="K152" t="s">
        <v>74</v>
      </c>
      <c r="L152" t="str">
        <f>_xlfn.XLOOKUP(tblCategorySales[[#This Row],[SalesPersonID]],tblSalespersonSummary[SalesPersonID],tblSalespersonSummary[SalespersonName],"Not found")</f>
        <v>Amy Alberts</v>
      </c>
      <c r="M152" t="str">
        <f>IF(tblCategorySales[[#This Row],[SalespersonName]]=tblCategorySales[[#This Row],[ExpectedSalespersonName]],"Match","Mismatch")</f>
        <v>Match</v>
      </c>
    </row>
    <row r="153" spans="1:13" x14ac:dyDescent="0.3">
      <c r="A153">
        <v>283</v>
      </c>
      <c r="B153" t="s">
        <v>15</v>
      </c>
      <c r="C153" t="s">
        <v>16</v>
      </c>
      <c r="D153">
        <v>2012</v>
      </c>
      <c r="E153">
        <v>2</v>
      </c>
      <c r="F153">
        <v>4</v>
      </c>
      <c r="G153" t="s">
        <v>70</v>
      </c>
      <c r="H153">
        <v>5</v>
      </c>
      <c r="I153">
        <v>83</v>
      </c>
      <c r="J153">
        <v>1373.6020619999999</v>
      </c>
      <c r="K153" t="s">
        <v>74</v>
      </c>
      <c r="L153" t="str">
        <f>_xlfn.XLOOKUP(tblCategorySales[[#This Row],[SalesPersonID]],tblSalespersonSummary[SalesPersonID],tblSalespersonSummary[SalespersonName],"Not found")</f>
        <v>David Campbell</v>
      </c>
      <c r="M153" t="str">
        <f>IF(tblCategorySales[[#This Row],[SalespersonName]]=tblCategorySales[[#This Row],[ExpectedSalespersonName]],"Match","Mismatch")</f>
        <v>Match</v>
      </c>
    </row>
    <row r="154" spans="1:13" x14ac:dyDescent="0.3">
      <c r="A154">
        <v>283</v>
      </c>
      <c r="B154" t="s">
        <v>15</v>
      </c>
      <c r="C154" t="s">
        <v>16</v>
      </c>
      <c r="D154">
        <v>2012</v>
      </c>
      <c r="E154">
        <v>2</v>
      </c>
      <c r="F154">
        <v>1</v>
      </c>
      <c r="G154" t="s">
        <v>71</v>
      </c>
      <c r="H154">
        <v>12</v>
      </c>
      <c r="I154">
        <v>343</v>
      </c>
      <c r="J154">
        <v>279060.70958099997</v>
      </c>
      <c r="K154" t="s">
        <v>74</v>
      </c>
      <c r="L154" t="str">
        <f>_xlfn.XLOOKUP(tblCategorySales[[#This Row],[SalesPersonID]],tblSalespersonSummary[SalesPersonID],tblSalespersonSummary[SalespersonName],"Not found")</f>
        <v>David Campbell</v>
      </c>
      <c r="M154" t="str">
        <f>IF(tblCategorySales[[#This Row],[SalespersonName]]=tblCategorySales[[#This Row],[ExpectedSalespersonName]],"Match","Mismatch")</f>
        <v>Match</v>
      </c>
    </row>
    <row r="155" spans="1:13" x14ac:dyDescent="0.3">
      <c r="A155">
        <v>283</v>
      </c>
      <c r="B155" t="s">
        <v>15</v>
      </c>
      <c r="C155" t="s">
        <v>16</v>
      </c>
      <c r="D155">
        <v>2012</v>
      </c>
      <c r="E155">
        <v>2</v>
      </c>
      <c r="F155">
        <v>3</v>
      </c>
      <c r="G155" t="s">
        <v>72</v>
      </c>
      <c r="H155">
        <v>12</v>
      </c>
      <c r="I155">
        <v>310</v>
      </c>
      <c r="J155">
        <v>8037.4213829999999</v>
      </c>
      <c r="K155" t="s">
        <v>74</v>
      </c>
      <c r="L155" t="str">
        <f>_xlfn.XLOOKUP(tblCategorySales[[#This Row],[SalesPersonID]],tblSalespersonSummary[SalesPersonID],tblSalespersonSummary[SalespersonName],"Not found")</f>
        <v>David Campbell</v>
      </c>
      <c r="M155" t="str">
        <f>IF(tblCategorySales[[#This Row],[SalespersonName]]=tblCategorySales[[#This Row],[ExpectedSalespersonName]],"Match","Mismatch")</f>
        <v>Match</v>
      </c>
    </row>
    <row r="156" spans="1:13" x14ac:dyDescent="0.3">
      <c r="A156">
        <v>283</v>
      </c>
      <c r="B156" t="s">
        <v>15</v>
      </c>
      <c r="C156" t="s">
        <v>16</v>
      </c>
      <c r="D156">
        <v>2012</v>
      </c>
      <c r="E156">
        <v>2</v>
      </c>
      <c r="F156">
        <v>2</v>
      </c>
      <c r="G156" t="s">
        <v>73</v>
      </c>
      <c r="H156">
        <v>11</v>
      </c>
      <c r="I156">
        <v>331</v>
      </c>
      <c r="J156">
        <v>75384.415997999997</v>
      </c>
      <c r="K156" t="s">
        <v>74</v>
      </c>
      <c r="L156" t="str">
        <f>_xlfn.XLOOKUP(tblCategorySales[[#This Row],[SalesPersonID]],tblSalespersonSummary[SalesPersonID],tblSalespersonSummary[SalespersonName],"Not found")</f>
        <v>David Campbell</v>
      </c>
      <c r="M156" t="str">
        <f>IF(tblCategorySales[[#This Row],[SalespersonName]]=tblCategorySales[[#This Row],[ExpectedSalespersonName]],"Match","Mismatch")</f>
        <v>Match</v>
      </c>
    </row>
    <row r="157" spans="1:13" x14ac:dyDescent="0.3">
      <c r="A157">
        <v>278</v>
      </c>
      <c r="B157" t="s">
        <v>21</v>
      </c>
      <c r="C157" t="s">
        <v>22</v>
      </c>
      <c r="D157">
        <v>2012</v>
      </c>
      <c r="E157">
        <v>2</v>
      </c>
      <c r="F157">
        <v>4</v>
      </c>
      <c r="G157" t="s">
        <v>70</v>
      </c>
      <c r="H157">
        <v>8</v>
      </c>
      <c r="I157">
        <v>176</v>
      </c>
      <c r="J157">
        <v>3055.0432540000002</v>
      </c>
      <c r="K157" t="s">
        <v>74</v>
      </c>
      <c r="L157" t="str">
        <f>_xlfn.XLOOKUP(tblCategorySales[[#This Row],[SalesPersonID]],tblSalespersonSummary[SalesPersonID],tblSalespersonSummary[SalespersonName],"Not found")</f>
        <v>Garrett Vargas</v>
      </c>
      <c r="M157" t="str">
        <f>IF(tblCategorySales[[#This Row],[SalespersonName]]=tblCategorySales[[#This Row],[ExpectedSalespersonName]],"Match","Mismatch")</f>
        <v>Match</v>
      </c>
    </row>
    <row r="158" spans="1:13" x14ac:dyDescent="0.3">
      <c r="A158">
        <v>278</v>
      </c>
      <c r="B158" t="s">
        <v>21</v>
      </c>
      <c r="C158" t="s">
        <v>22</v>
      </c>
      <c r="D158">
        <v>2012</v>
      </c>
      <c r="E158">
        <v>2</v>
      </c>
      <c r="F158">
        <v>1</v>
      </c>
      <c r="G158" t="s">
        <v>71</v>
      </c>
      <c r="H158">
        <v>14</v>
      </c>
      <c r="I158">
        <v>391</v>
      </c>
      <c r="J158">
        <v>266464.36854200001</v>
      </c>
      <c r="K158" t="s">
        <v>74</v>
      </c>
      <c r="L158" t="str">
        <f>_xlfn.XLOOKUP(tblCategorySales[[#This Row],[SalesPersonID]],tblSalespersonSummary[SalesPersonID],tblSalespersonSummary[SalespersonName],"Not found")</f>
        <v>Garrett Vargas</v>
      </c>
      <c r="M158" t="str">
        <f>IF(tblCategorySales[[#This Row],[SalespersonName]]=tblCategorySales[[#This Row],[ExpectedSalespersonName]],"Match","Mismatch")</f>
        <v>Match</v>
      </c>
    </row>
    <row r="159" spans="1:13" x14ac:dyDescent="0.3">
      <c r="A159">
        <v>278</v>
      </c>
      <c r="B159" t="s">
        <v>21</v>
      </c>
      <c r="C159" t="s">
        <v>22</v>
      </c>
      <c r="D159">
        <v>2012</v>
      </c>
      <c r="E159">
        <v>2</v>
      </c>
      <c r="F159">
        <v>3</v>
      </c>
      <c r="G159" t="s">
        <v>72</v>
      </c>
      <c r="H159">
        <v>10</v>
      </c>
      <c r="I159">
        <v>483</v>
      </c>
      <c r="J159">
        <v>15590.176675999999</v>
      </c>
      <c r="K159" t="s">
        <v>74</v>
      </c>
      <c r="L159" t="str">
        <f>_xlfn.XLOOKUP(tblCategorySales[[#This Row],[SalesPersonID]],tblSalespersonSummary[SalesPersonID],tblSalespersonSummary[SalespersonName],"Not found")</f>
        <v>Garrett Vargas</v>
      </c>
      <c r="M159" t="str">
        <f>IF(tblCategorySales[[#This Row],[SalespersonName]]=tblCategorySales[[#This Row],[ExpectedSalespersonName]],"Match","Mismatch")</f>
        <v>Match</v>
      </c>
    </row>
    <row r="160" spans="1:13" x14ac:dyDescent="0.3">
      <c r="A160">
        <v>278</v>
      </c>
      <c r="B160" t="s">
        <v>21</v>
      </c>
      <c r="C160" t="s">
        <v>22</v>
      </c>
      <c r="D160">
        <v>2012</v>
      </c>
      <c r="E160">
        <v>2</v>
      </c>
      <c r="F160">
        <v>2</v>
      </c>
      <c r="G160" t="s">
        <v>73</v>
      </c>
      <c r="H160">
        <v>12</v>
      </c>
      <c r="I160">
        <v>278</v>
      </c>
      <c r="J160">
        <v>67477.471300000005</v>
      </c>
      <c r="K160" t="s">
        <v>74</v>
      </c>
      <c r="L160" t="str">
        <f>_xlfn.XLOOKUP(tblCategorySales[[#This Row],[SalesPersonID]],tblSalespersonSummary[SalesPersonID],tblSalespersonSummary[SalespersonName],"Not found")</f>
        <v>Garrett Vargas</v>
      </c>
      <c r="M160" t="str">
        <f>IF(tblCategorySales[[#This Row],[SalespersonName]]=tblCategorySales[[#This Row],[ExpectedSalespersonName]],"Match","Mismatch")</f>
        <v>Match</v>
      </c>
    </row>
    <row r="161" spans="1:13" x14ac:dyDescent="0.3">
      <c r="A161">
        <v>289</v>
      </c>
      <c r="B161" t="s">
        <v>44</v>
      </c>
      <c r="C161" t="s">
        <v>45</v>
      </c>
      <c r="D161">
        <v>2012</v>
      </c>
      <c r="E161">
        <v>2</v>
      </c>
      <c r="F161">
        <v>4</v>
      </c>
      <c r="G161" t="s">
        <v>70</v>
      </c>
      <c r="H161">
        <v>12</v>
      </c>
      <c r="I161">
        <v>262</v>
      </c>
      <c r="J161">
        <v>4146.619976</v>
      </c>
      <c r="K161" t="s">
        <v>74</v>
      </c>
      <c r="L161" t="str">
        <f>_xlfn.XLOOKUP(tblCategorySales[[#This Row],[SalesPersonID]],tblSalespersonSummary[SalesPersonID],tblSalespersonSummary[SalespersonName],"Not found")</f>
        <v>Jae Pak</v>
      </c>
      <c r="M161" t="str">
        <f>IF(tblCategorySales[[#This Row],[SalespersonName]]=tblCategorySales[[#This Row],[ExpectedSalespersonName]],"Match","Mismatch")</f>
        <v>Match</v>
      </c>
    </row>
    <row r="162" spans="1:13" x14ac:dyDescent="0.3">
      <c r="A162">
        <v>289</v>
      </c>
      <c r="B162" t="s">
        <v>44</v>
      </c>
      <c r="C162" t="s">
        <v>45</v>
      </c>
      <c r="D162">
        <v>2012</v>
      </c>
      <c r="E162">
        <v>2</v>
      </c>
      <c r="F162">
        <v>1</v>
      </c>
      <c r="G162" t="s">
        <v>71</v>
      </c>
      <c r="H162">
        <v>22</v>
      </c>
      <c r="I162">
        <v>873</v>
      </c>
      <c r="J162">
        <v>724605.75596700003</v>
      </c>
      <c r="K162" t="s">
        <v>74</v>
      </c>
      <c r="L162" t="str">
        <f>_xlfn.XLOOKUP(tblCategorySales[[#This Row],[SalesPersonID]],tblSalespersonSummary[SalesPersonID],tblSalespersonSummary[SalespersonName],"Not found")</f>
        <v>Jae Pak</v>
      </c>
      <c r="M162" t="str">
        <f>IF(tblCategorySales[[#This Row],[SalespersonName]]=tblCategorySales[[#This Row],[ExpectedSalespersonName]],"Match","Mismatch")</f>
        <v>Match</v>
      </c>
    </row>
    <row r="163" spans="1:13" x14ac:dyDescent="0.3">
      <c r="A163">
        <v>289</v>
      </c>
      <c r="B163" t="s">
        <v>44</v>
      </c>
      <c r="C163" t="s">
        <v>45</v>
      </c>
      <c r="D163">
        <v>2012</v>
      </c>
      <c r="E163">
        <v>2</v>
      </c>
      <c r="F163">
        <v>3</v>
      </c>
      <c r="G163" t="s">
        <v>72</v>
      </c>
      <c r="H163">
        <v>21</v>
      </c>
      <c r="I163">
        <v>855</v>
      </c>
      <c r="J163">
        <v>25249.722532</v>
      </c>
      <c r="K163" t="s">
        <v>74</v>
      </c>
      <c r="L163" t="str">
        <f>_xlfn.XLOOKUP(tblCategorySales[[#This Row],[SalesPersonID]],tblSalespersonSummary[SalesPersonID],tblSalespersonSummary[SalespersonName],"Not found")</f>
        <v>Jae Pak</v>
      </c>
      <c r="M163" t="str">
        <f>IF(tblCategorySales[[#This Row],[SalespersonName]]=tblCategorySales[[#This Row],[ExpectedSalespersonName]],"Match","Mismatch")</f>
        <v>Match</v>
      </c>
    </row>
    <row r="164" spans="1:13" x14ac:dyDescent="0.3">
      <c r="A164">
        <v>289</v>
      </c>
      <c r="B164" t="s">
        <v>44</v>
      </c>
      <c r="C164" t="s">
        <v>45</v>
      </c>
      <c r="D164">
        <v>2012</v>
      </c>
      <c r="E164">
        <v>2</v>
      </c>
      <c r="F164">
        <v>2</v>
      </c>
      <c r="G164" t="s">
        <v>73</v>
      </c>
      <c r="H164">
        <v>27</v>
      </c>
      <c r="I164">
        <v>851</v>
      </c>
      <c r="J164">
        <v>209343.009448</v>
      </c>
      <c r="K164" t="s">
        <v>74</v>
      </c>
      <c r="L164" t="str">
        <f>_xlfn.XLOOKUP(tblCategorySales[[#This Row],[SalesPersonID]],tblSalespersonSummary[SalesPersonID],tblSalespersonSummary[SalespersonName],"Not found")</f>
        <v>Jae Pak</v>
      </c>
      <c r="M164" t="str">
        <f>IF(tblCategorySales[[#This Row],[SalespersonName]]=tblCategorySales[[#This Row],[ExpectedSalespersonName]],"Match","Mismatch")</f>
        <v>Match</v>
      </c>
    </row>
    <row r="165" spans="1:13" x14ac:dyDescent="0.3">
      <c r="A165">
        <v>277</v>
      </c>
      <c r="B165" t="s">
        <v>23</v>
      </c>
      <c r="C165" t="s">
        <v>24</v>
      </c>
      <c r="D165">
        <v>2012</v>
      </c>
      <c r="E165">
        <v>2</v>
      </c>
      <c r="F165">
        <v>4</v>
      </c>
      <c r="G165" t="s">
        <v>70</v>
      </c>
      <c r="H165">
        <v>19</v>
      </c>
      <c r="I165">
        <v>196</v>
      </c>
      <c r="J165">
        <v>3428.559636</v>
      </c>
      <c r="K165" t="s">
        <v>74</v>
      </c>
      <c r="L165" t="str">
        <f>_xlfn.XLOOKUP(tblCategorySales[[#This Row],[SalesPersonID]],tblSalespersonSummary[SalesPersonID],tblSalespersonSummary[SalespersonName],"Not found")</f>
        <v>Jillian Carson</v>
      </c>
      <c r="M165" t="str">
        <f>IF(tblCategorySales[[#This Row],[SalespersonName]]=tblCategorySales[[#This Row],[ExpectedSalespersonName]],"Match","Mismatch")</f>
        <v>Match</v>
      </c>
    </row>
    <row r="166" spans="1:13" x14ac:dyDescent="0.3">
      <c r="A166">
        <v>277</v>
      </c>
      <c r="B166" t="s">
        <v>23</v>
      </c>
      <c r="C166" t="s">
        <v>24</v>
      </c>
      <c r="D166">
        <v>2012</v>
      </c>
      <c r="E166">
        <v>2</v>
      </c>
      <c r="F166">
        <v>1</v>
      </c>
      <c r="G166" t="s">
        <v>71</v>
      </c>
      <c r="H166">
        <v>30</v>
      </c>
      <c r="I166">
        <v>1075</v>
      </c>
      <c r="J166">
        <v>848200.757492</v>
      </c>
      <c r="K166" t="s">
        <v>74</v>
      </c>
      <c r="L166" t="str">
        <f>_xlfn.XLOOKUP(tblCategorySales[[#This Row],[SalesPersonID]],tblSalespersonSummary[SalesPersonID],tblSalespersonSummary[SalespersonName],"Not found")</f>
        <v>Jillian Carson</v>
      </c>
      <c r="M166" t="str">
        <f>IF(tblCategorySales[[#This Row],[SalespersonName]]=tblCategorySales[[#This Row],[ExpectedSalespersonName]],"Match","Mismatch")</f>
        <v>Match</v>
      </c>
    </row>
    <row r="167" spans="1:13" x14ac:dyDescent="0.3">
      <c r="A167">
        <v>277</v>
      </c>
      <c r="B167" t="s">
        <v>23</v>
      </c>
      <c r="C167" t="s">
        <v>24</v>
      </c>
      <c r="D167">
        <v>2012</v>
      </c>
      <c r="E167">
        <v>2</v>
      </c>
      <c r="F167">
        <v>3</v>
      </c>
      <c r="G167" t="s">
        <v>72</v>
      </c>
      <c r="H167">
        <v>25</v>
      </c>
      <c r="I167">
        <v>504</v>
      </c>
      <c r="J167">
        <v>13872.891787</v>
      </c>
      <c r="K167" t="s">
        <v>74</v>
      </c>
      <c r="L167" t="str">
        <f>_xlfn.XLOOKUP(tblCategorySales[[#This Row],[SalesPersonID]],tblSalespersonSummary[SalesPersonID],tblSalespersonSummary[SalespersonName],"Not found")</f>
        <v>Jillian Carson</v>
      </c>
      <c r="M167" t="str">
        <f>IF(tblCategorySales[[#This Row],[SalespersonName]]=tblCategorySales[[#This Row],[ExpectedSalespersonName]],"Match","Mismatch")</f>
        <v>Match</v>
      </c>
    </row>
    <row r="168" spans="1:13" x14ac:dyDescent="0.3">
      <c r="A168">
        <v>277</v>
      </c>
      <c r="B168" t="s">
        <v>23</v>
      </c>
      <c r="C168" t="s">
        <v>24</v>
      </c>
      <c r="D168">
        <v>2012</v>
      </c>
      <c r="E168">
        <v>2</v>
      </c>
      <c r="F168">
        <v>2</v>
      </c>
      <c r="G168" t="s">
        <v>73</v>
      </c>
      <c r="H168">
        <v>28</v>
      </c>
      <c r="I168">
        <v>800</v>
      </c>
      <c r="J168">
        <v>204011.66409999999</v>
      </c>
      <c r="K168" t="s">
        <v>74</v>
      </c>
      <c r="L168" t="str">
        <f>_xlfn.XLOOKUP(tblCategorySales[[#This Row],[SalesPersonID]],tblSalespersonSummary[SalesPersonID],tblSalespersonSummary[SalespersonName],"Not found")</f>
        <v>Jillian Carson</v>
      </c>
      <c r="M168" t="str">
        <f>IF(tblCategorySales[[#This Row],[SalespersonName]]=tblCategorySales[[#This Row],[ExpectedSalespersonName]],"Match","Mismatch")</f>
        <v>Match</v>
      </c>
    </row>
    <row r="169" spans="1:13" x14ac:dyDescent="0.3">
      <c r="A169">
        <v>282</v>
      </c>
      <c r="B169" t="s">
        <v>25</v>
      </c>
      <c r="C169" t="s">
        <v>22</v>
      </c>
      <c r="D169">
        <v>2012</v>
      </c>
      <c r="E169">
        <v>2</v>
      </c>
      <c r="F169">
        <v>4</v>
      </c>
      <c r="G169" t="s">
        <v>70</v>
      </c>
      <c r="H169">
        <v>8</v>
      </c>
      <c r="I169">
        <v>107</v>
      </c>
      <c r="J169">
        <v>1932.35058</v>
      </c>
      <c r="K169" t="s">
        <v>74</v>
      </c>
      <c r="L169" t="str">
        <f>_xlfn.XLOOKUP(tblCategorySales[[#This Row],[SalesPersonID]],tblSalespersonSummary[SalesPersonID],tblSalespersonSummary[SalespersonName],"Not found")</f>
        <v>José Saraiva</v>
      </c>
      <c r="M169" t="str">
        <f>IF(tblCategorySales[[#This Row],[SalespersonName]]=tblCategorySales[[#This Row],[ExpectedSalespersonName]],"Match","Mismatch")</f>
        <v>Match</v>
      </c>
    </row>
    <row r="170" spans="1:13" x14ac:dyDescent="0.3">
      <c r="A170">
        <v>282</v>
      </c>
      <c r="B170" t="s">
        <v>25</v>
      </c>
      <c r="C170" t="s">
        <v>22</v>
      </c>
      <c r="D170">
        <v>2012</v>
      </c>
      <c r="E170">
        <v>2</v>
      </c>
      <c r="F170">
        <v>1</v>
      </c>
      <c r="G170" t="s">
        <v>71</v>
      </c>
      <c r="H170">
        <v>12</v>
      </c>
      <c r="I170">
        <v>314</v>
      </c>
      <c r="J170">
        <v>233472.34510800001</v>
      </c>
      <c r="K170" t="s">
        <v>74</v>
      </c>
      <c r="L170" t="str">
        <f>_xlfn.XLOOKUP(tblCategorySales[[#This Row],[SalesPersonID]],tblSalespersonSummary[SalesPersonID],tblSalespersonSummary[SalespersonName],"Not found")</f>
        <v>José Saraiva</v>
      </c>
      <c r="M170" t="str">
        <f>IF(tblCategorySales[[#This Row],[SalespersonName]]=tblCategorySales[[#This Row],[ExpectedSalespersonName]],"Match","Mismatch")</f>
        <v>Match</v>
      </c>
    </row>
    <row r="171" spans="1:13" x14ac:dyDescent="0.3">
      <c r="A171">
        <v>282</v>
      </c>
      <c r="B171" t="s">
        <v>25</v>
      </c>
      <c r="C171" t="s">
        <v>22</v>
      </c>
      <c r="D171">
        <v>2012</v>
      </c>
      <c r="E171">
        <v>2</v>
      </c>
      <c r="F171">
        <v>3</v>
      </c>
      <c r="G171" t="s">
        <v>72</v>
      </c>
      <c r="H171">
        <v>11</v>
      </c>
      <c r="I171">
        <v>280</v>
      </c>
      <c r="J171">
        <v>8017.5478519999997</v>
      </c>
      <c r="K171" t="s">
        <v>74</v>
      </c>
      <c r="L171" t="str">
        <f>_xlfn.XLOOKUP(tblCategorySales[[#This Row],[SalesPersonID]],tblSalespersonSummary[SalesPersonID],tblSalespersonSummary[SalespersonName],"Not found")</f>
        <v>José Saraiva</v>
      </c>
      <c r="M171" t="str">
        <f>IF(tblCategorySales[[#This Row],[SalespersonName]]=tblCategorySales[[#This Row],[ExpectedSalespersonName]],"Match","Mismatch")</f>
        <v>Match</v>
      </c>
    </row>
    <row r="172" spans="1:13" x14ac:dyDescent="0.3">
      <c r="A172">
        <v>282</v>
      </c>
      <c r="B172" t="s">
        <v>25</v>
      </c>
      <c r="C172" t="s">
        <v>22</v>
      </c>
      <c r="D172">
        <v>2012</v>
      </c>
      <c r="E172">
        <v>2</v>
      </c>
      <c r="F172">
        <v>2</v>
      </c>
      <c r="G172" t="s">
        <v>73</v>
      </c>
      <c r="H172">
        <v>15</v>
      </c>
      <c r="I172">
        <v>200</v>
      </c>
      <c r="J172">
        <v>63956.6351</v>
      </c>
      <c r="K172" t="s">
        <v>74</v>
      </c>
      <c r="L172" t="str">
        <f>_xlfn.XLOOKUP(tblCategorySales[[#This Row],[SalesPersonID]],tblSalespersonSummary[SalesPersonID],tblSalespersonSummary[SalespersonName],"Not found")</f>
        <v>José Saraiva</v>
      </c>
      <c r="M172" t="str">
        <f>IF(tblCategorySales[[#This Row],[SalespersonName]]=tblCategorySales[[#This Row],[ExpectedSalespersonName]],"Match","Mismatch")</f>
        <v>Match</v>
      </c>
    </row>
    <row r="173" spans="1:13" x14ac:dyDescent="0.3">
      <c r="A173">
        <v>276</v>
      </c>
      <c r="B173" t="s">
        <v>26</v>
      </c>
      <c r="C173" t="s">
        <v>27</v>
      </c>
      <c r="D173">
        <v>2012</v>
      </c>
      <c r="E173">
        <v>2</v>
      </c>
      <c r="F173">
        <v>4</v>
      </c>
      <c r="G173" t="s">
        <v>70</v>
      </c>
      <c r="H173">
        <v>16</v>
      </c>
      <c r="I173">
        <v>270</v>
      </c>
      <c r="J173">
        <v>4715.9169300000003</v>
      </c>
      <c r="K173" t="s">
        <v>74</v>
      </c>
      <c r="L173" t="str">
        <f>_xlfn.XLOOKUP(tblCategorySales[[#This Row],[SalesPersonID]],tblSalespersonSummary[SalesPersonID],tblSalespersonSummary[SalespersonName],"Not found")</f>
        <v>Linda Mitchell</v>
      </c>
      <c r="M173" t="str">
        <f>IF(tblCategorySales[[#This Row],[SalespersonName]]=tblCategorySales[[#This Row],[ExpectedSalespersonName]],"Match","Mismatch")</f>
        <v>Match</v>
      </c>
    </row>
    <row r="174" spans="1:13" x14ac:dyDescent="0.3">
      <c r="A174">
        <v>276</v>
      </c>
      <c r="B174" t="s">
        <v>26</v>
      </c>
      <c r="C174" t="s">
        <v>27</v>
      </c>
      <c r="D174">
        <v>2012</v>
      </c>
      <c r="E174">
        <v>2</v>
      </c>
      <c r="F174">
        <v>1</v>
      </c>
      <c r="G174" t="s">
        <v>71</v>
      </c>
      <c r="H174">
        <v>29</v>
      </c>
      <c r="I174">
        <v>898</v>
      </c>
      <c r="J174">
        <v>688131.51852599997</v>
      </c>
      <c r="K174" t="s">
        <v>74</v>
      </c>
      <c r="L174" t="str">
        <f>_xlfn.XLOOKUP(tblCategorySales[[#This Row],[SalesPersonID]],tblSalespersonSummary[SalesPersonID],tblSalespersonSummary[SalespersonName],"Not found")</f>
        <v>Linda Mitchell</v>
      </c>
      <c r="M174" t="str">
        <f>IF(tblCategorySales[[#This Row],[SalespersonName]]=tblCategorySales[[#This Row],[ExpectedSalespersonName]],"Match","Mismatch")</f>
        <v>Match</v>
      </c>
    </row>
    <row r="175" spans="1:13" x14ac:dyDescent="0.3">
      <c r="A175">
        <v>276</v>
      </c>
      <c r="B175" t="s">
        <v>26</v>
      </c>
      <c r="C175" t="s">
        <v>27</v>
      </c>
      <c r="D175">
        <v>2012</v>
      </c>
      <c r="E175">
        <v>2</v>
      </c>
      <c r="F175">
        <v>3</v>
      </c>
      <c r="G175" t="s">
        <v>72</v>
      </c>
      <c r="H175">
        <v>22</v>
      </c>
      <c r="I175">
        <v>845</v>
      </c>
      <c r="J175">
        <v>25260.141232000002</v>
      </c>
      <c r="K175" t="s">
        <v>74</v>
      </c>
      <c r="L175" t="str">
        <f>_xlfn.XLOOKUP(tblCategorySales[[#This Row],[SalesPersonID]],tblSalespersonSummary[SalesPersonID],tblSalespersonSummary[SalespersonName],"Not found")</f>
        <v>Linda Mitchell</v>
      </c>
      <c r="M175" t="str">
        <f>IF(tblCategorySales[[#This Row],[SalespersonName]]=tblCategorySales[[#This Row],[ExpectedSalespersonName]],"Match","Mismatch")</f>
        <v>Match</v>
      </c>
    </row>
    <row r="176" spans="1:13" x14ac:dyDescent="0.3">
      <c r="A176">
        <v>276</v>
      </c>
      <c r="B176" t="s">
        <v>26</v>
      </c>
      <c r="C176" t="s">
        <v>27</v>
      </c>
      <c r="D176">
        <v>2012</v>
      </c>
      <c r="E176">
        <v>2</v>
      </c>
      <c r="F176">
        <v>2</v>
      </c>
      <c r="G176" t="s">
        <v>73</v>
      </c>
      <c r="H176">
        <v>25</v>
      </c>
      <c r="I176">
        <v>625</v>
      </c>
      <c r="J176">
        <v>160523.611</v>
      </c>
      <c r="K176" t="s">
        <v>74</v>
      </c>
      <c r="L176" t="str">
        <f>_xlfn.XLOOKUP(tblCategorySales[[#This Row],[SalesPersonID]],tblSalespersonSummary[SalesPersonID],tblSalespersonSummary[SalespersonName],"Not found")</f>
        <v>Linda Mitchell</v>
      </c>
      <c r="M176" t="str">
        <f>IF(tblCategorySales[[#This Row],[SalespersonName]]=tblCategorySales[[#This Row],[ExpectedSalespersonName]],"Match","Mismatch")</f>
        <v>Match</v>
      </c>
    </row>
    <row r="177" spans="1:13" x14ac:dyDescent="0.3">
      <c r="A177">
        <v>275</v>
      </c>
      <c r="B177" t="s">
        <v>28</v>
      </c>
      <c r="C177" t="s">
        <v>29</v>
      </c>
      <c r="D177">
        <v>2012</v>
      </c>
      <c r="E177">
        <v>2</v>
      </c>
      <c r="F177">
        <v>4</v>
      </c>
      <c r="G177" t="s">
        <v>70</v>
      </c>
      <c r="H177">
        <v>13</v>
      </c>
      <c r="I177">
        <v>215</v>
      </c>
      <c r="J177">
        <v>3556.71009</v>
      </c>
      <c r="K177" t="s">
        <v>74</v>
      </c>
      <c r="L177" t="str">
        <f>_xlfn.XLOOKUP(tblCategorySales[[#This Row],[SalesPersonID]],tblSalespersonSummary[SalesPersonID],tblSalespersonSummary[SalespersonName],"Not found")</f>
        <v>Michael Blythe</v>
      </c>
      <c r="M177" t="str">
        <f>IF(tblCategorySales[[#This Row],[SalespersonName]]=tblCategorySales[[#This Row],[ExpectedSalespersonName]],"Match","Mismatch")</f>
        <v>Match</v>
      </c>
    </row>
    <row r="178" spans="1:13" x14ac:dyDescent="0.3">
      <c r="A178">
        <v>275</v>
      </c>
      <c r="B178" t="s">
        <v>28</v>
      </c>
      <c r="C178" t="s">
        <v>29</v>
      </c>
      <c r="D178">
        <v>2012</v>
      </c>
      <c r="E178">
        <v>2</v>
      </c>
      <c r="F178">
        <v>1</v>
      </c>
      <c r="G178" t="s">
        <v>71</v>
      </c>
      <c r="H178">
        <v>33</v>
      </c>
      <c r="I178">
        <v>1010</v>
      </c>
      <c r="J178">
        <v>749630.87020100001</v>
      </c>
      <c r="K178" t="s">
        <v>74</v>
      </c>
      <c r="L178" t="str">
        <f>_xlfn.XLOOKUP(tblCategorySales[[#This Row],[SalesPersonID]],tblSalespersonSummary[SalesPersonID],tblSalespersonSummary[SalespersonName],"Not found")</f>
        <v>Michael Blythe</v>
      </c>
      <c r="M178" t="str">
        <f>IF(tblCategorySales[[#This Row],[SalespersonName]]=tblCategorySales[[#This Row],[ExpectedSalespersonName]],"Match","Mismatch")</f>
        <v>Match</v>
      </c>
    </row>
    <row r="179" spans="1:13" x14ac:dyDescent="0.3">
      <c r="A179">
        <v>275</v>
      </c>
      <c r="B179" t="s">
        <v>28</v>
      </c>
      <c r="C179" t="s">
        <v>29</v>
      </c>
      <c r="D179">
        <v>2012</v>
      </c>
      <c r="E179">
        <v>2</v>
      </c>
      <c r="F179">
        <v>3</v>
      </c>
      <c r="G179" t="s">
        <v>72</v>
      </c>
      <c r="H179">
        <v>25</v>
      </c>
      <c r="I179">
        <v>795</v>
      </c>
      <c r="J179">
        <v>22887.146445999999</v>
      </c>
      <c r="K179" t="s">
        <v>74</v>
      </c>
      <c r="L179" t="str">
        <f>_xlfn.XLOOKUP(tblCategorySales[[#This Row],[SalesPersonID]],tblSalespersonSummary[SalesPersonID],tblSalespersonSummary[SalespersonName],"Not found")</f>
        <v>Michael Blythe</v>
      </c>
      <c r="M179" t="str">
        <f>IF(tblCategorySales[[#This Row],[SalespersonName]]=tblCategorySales[[#This Row],[ExpectedSalespersonName]],"Match","Mismatch")</f>
        <v>Match</v>
      </c>
    </row>
    <row r="180" spans="1:13" x14ac:dyDescent="0.3">
      <c r="A180">
        <v>275</v>
      </c>
      <c r="B180" t="s">
        <v>28</v>
      </c>
      <c r="C180" t="s">
        <v>29</v>
      </c>
      <c r="D180">
        <v>2012</v>
      </c>
      <c r="E180">
        <v>2</v>
      </c>
      <c r="F180">
        <v>2</v>
      </c>
      <c r="G180" t="s">
        <v>73</v>
      </c>
      <c r="H180">
        <v>33</v>
      </c>
      <c r="I180">
        <v>813</v>
      </c>
      <c r="J180">
        <v>211428.0344</v>
      </c>
      <c r="K180" t="s">
        <v>74</v>
      </c>
      <c r="L180" t="str">
        <f>_xlfn.XLOOKUP(tblCategorySales[[#This Row],[SalesPersonID]],tblSalespersonSummary[SalesPersonID],tblSalespersonSummary[SalespersonName],"Not found")</f>
        <v>Michael Blythe</v>
      </c>
      <c r="M180" t="str">
        <f>IF(tblCategorySales[[#This Row],[SalespersonName]]=tblCategorySales[[#This Row],[ExpectedSalespersonName]],"Match","Mismatch")</f>
        <v>Match</v>
      </c>
    </row>
    <row r="181" spans="1:13" x14ac:dyDescent="0.3">
      <c r="A181">
        <v>280</v>
      </c>
      <c r="B181" t="s">
        <v>30</v>
      </c>
      <c r="C181" t="s">
        <v>16</v>
      </c>
      <c r="D181">
        <v>2012</v>
      </c>
      <c r="E181">
        <v>2</v>
      </c>
      <c r="F181">
        <v>4</v>
      </c>
      <c r="G181" t="s">
        <v>70</v>
      </c>
      <c r="H181">
        <v>7</v>
      </c>
      <c r="I181">
        <v>131</v>
      </c>
      <c r="J181">
        <v>2192.6199080000001</v>
      </c>
      <c r="K181" t="s">
        <v>75</v>
      </c>
      <c r="L181" t="str">
        <f>_xlfn.XLOOKUP(tblCategorySales[[#This Row],[SalesPersonID]],tblSalespersonSummary[SalesPersonID],tblSalespersonSummary[SalespersonName],"Not found")</f>
        <v>Pamela Ansman-Wolfe</v>
      </c>
      <c r="M181" t="str">
        <f>IF(tblCategorySales[[#This Row],[SalespersonName]]=tblCategorySales[[#This Row],[ExpectedSalespersonName]],"Match","Mismatch")</f>
        <v>Match</v>
      </c>
    </row>
    <row r="182" spans="1:13" x14ac:dyDescent="0.3">
      <c r="A182">
        <v>280</v>
      </c>
      <c r="B182" t="s">
        <v>30</v>
      </c>
      <c r="C182" t="s">
        <v>16</v>
      </c>
      <c r="D182">
        <v>2012</v>
      </c>
      <c r="E182">
        <v>2</v>
      </c>
      <c r="F182">
        <v>1</v>
      </c>
      <c r="G182" t="s">
        <v>71</v>
      </c>
      <c r="H182">
        <v>8</v>
      </c>
      <c r="I182">
        <v>350</v>
      </c>
      <c r="J182">
        <v>298494.96895200002</v>
      </c>
      <c r="K182" t="s">
        <v>75</v>
      </c>
      <c r="L182" t="str">
        <f>_xlfn.XLOOKUP(tblCategorySales[[#This Row],[SalesPersonID]],tblSalespersonSummary[SalesPersonID],tblSalespersonSummary[SalespersonName],"Not found")</f>
        <v>Pamela Ansman-Wolfe</v>
      </c>
      <c r="M182" t="str">
        <f>IF(tblCategorySales[[#This Row],[SalespersonName]]=tblCategorySales[[#This Row],[ExpectedSalespersonName]],"Match","Mismatch")</f>
        <v>Match</v>
      </c>
    </row>
    <row r="183" spans="1:13" x14ac:dyDescent="0.3">
      <c r="A183">
        <v>280</v>
      </c>
      <c r="B183" t="s">
        <v>30</v>
      </c>
      <c r="C183" t="s">
        <v>16</v>
      </c>
      <c r="D183">
        <v>2012</v>
      </c>
      <c r="E183">
        <v>2</v>
      </c>
      <c r="F183">
        <v>3</v>
      </c>
      <c r="G183" t="s">
        <v>72</v>
      </c>
      <c r="H183">
        <v>10</v>
      </c>
      <c r="I183">
        <v>412</v>
      </c>
      <c r="J183">
        <v>11961.906143</v>
      </c>
      <c r="K183" t="s">
        <v>75</v>
      </c>
      <c r="L183" t="str">
        <f>_xlfn.XLOOKUP(tblCategorySales[[#This Row],[SalesPersonID]],tblSalespersonSummary[SalesPersonID],tblSalespersonSummary[SalespersonName],"Not found")</f>
        <v>Pamela Ansman-Wolfe</v>
      </c>
      <c r="M183" t="str">
        <f>IF(tblCategorySales[[#This Row],[SalespersonName]]=tblCategorySales[[#This Row],[ExpectedSalespersonName]],"Match","Mismatch")</f>
        <v>Match</v>
      </c>
    </row>
    <row r="184" spans="1:13" x14ac:dyDescent="0.3">
      <c r="A184">
        <v>280</v>
      </c>
      <c r="B184" t="s">
        <v>30</v>
      </c>
      <c r="C184" t="s">
        <v>16</v>
      </c>
      <c r="D184">
        <v>2012</v>
      </c>
      <c r="E184">
        <v>2</v>
      </c>
      <c r="F184">
        <v>2</v>
      </c>
      <c r="G184" t="s">
        <v>73</v>
      </c>
      <c r="H184">
        <v>12</v>
      </c>
      <c r="I184">
        <v>348</v>
      </c>
      <c r="J184">
        <v>77374.087975999995</v>
      </c>
      <c r="K184" t="s">
        <v>75</v>
      </c>
      <c r="L184" t="str">
        <f>_xlfn.XLOOKUP(tblCategorySales[[#This Row],[SalesPersonID]],tblSalespersonSummary[SalesPersonID],tblSalespersonSummary[SalespersonName],"Not found")</f>
        <v>Pamela Ansman-Wolfe</v>
      </c>
      <c r="M184" t="str">
        <f>IF(tblCategorySales[[#This Row],[SalespersonName]]=tblCategorySales[[#This Row],[ExpectedSalespersonName]],"Match","Mismatch")</f>
        <v>Match</v>
      </c>
    </row>
    <row r="185" spans="1:13" x14ac:dyDescent="0.3">
      <c r="A185">
        <v>290</v>
      </c>
      <c r="B185" t="s">
        <v>46</v>
      </c>
      <c r="C185" t="s">
        <v>47</v>
      </c>
      <c r="D185">
        <v>2012</v>
      </c>
      <c r="E185">
        <v>2</v>
      </c>
      <c r="F185">
        <v>4</v>
      </c>
      <c r="G185" t="s">
        <v>70</v>
      </c>
      <c r="H185">
        <v>7</v>
      </c>
      <c r="I185">
        <v>160</v>
      </c>
      <c r="J185">
        <v>2613.9066579999999</v>
      </c>
      <c r="K185" t="s">
        <v>74</v>
      </c>
      <c r="L185" t="str">
        <f>_xlfn.XLOOKUP(tblCategorySales[[#This Row],[SalesPersonID]],tblSalespersonSummary[SalesPersonID],tblSalespersonSummary[SalespersonName],"Not found")</f>
        <v>Ranjit Varkey Chudukatil</v>
      </c>
      <c r="M185" t="str">
        <f>IF(tblCategorySales[[#This Row],[SalespersonName]]=tblCategorySales[[#This Row],[ExpectedSalespersonName]],"Match","Mismatch")</f>
        <v>Match</v>
      </c>
    </row>
    <row r="186" spans="1:13" x14ac:dyDescent="0.3">
      <c r="A186">
        <v>290</v>
      </c>
      <c r="B186" t="s">
        <v>46</v>
      </c>
      <c r="C186" t="s">
        <v>47</v>
      </c>
      <c r="D186">
        <v>2012</v>
      </c>
      <c r="E186">
        <v>2</v>
      </c>
      <c r="F186">
        <v>1</v>
      </c>
      <c r="G186" t="s">
        <v>71</v>
      </c>
      <c r="H186">
        <v>9</v>
      </c>
      <c r="I186">
        <v>338</v>
      </c>
      <c r="J186">
        <v>263761.32300099998</v>
      </c>
      <c r="K186" t="s">
        <v>74</v>
      </c>
      <c r="L186" t="str">
        <f>_xlfn.XLOOKUP(tblCategorySales[[#This Row],[SalesPersonID]],tblSalespersonSummary[SalesPersonID],tblSalespersonSummary[SalespersonName],"Not found")</f>
        <v>Ranjit Varkey Chudukatil</v>
      </c>
      <c r="M186" t="str">
        <f>IF(tblCategorySales[[#This Row],[SalespersonName]]=tblCategorySales[[#This Row],[ExpectedSalespersonName]],"Match","Mismatch")</f>
        <v>Match</v>
      </c>
    </row>
    <row r="187" spans="1:13" x14ac:dyDescent="0.3">
      <c r="A187">
        <v>290</v>
      </c>
      <c r="B187" t="s">
        <v>46</v>
      </c>
      <c r="C187" t="s">
        <v>47</v>
      </c>
      <c r="D187">
        <v>2012</v>
      </c>
      <c r="E187">
        <v>2</v>
      </c>
      <c r="F187">
        <v>3</v>
      </c>
      <c r="G187" t="s">
        <v>72</v>
      </c>
      <c r="H187">
        <v>9</v>
      </c>
      <c r="I187">
        <v>480</v>
      </c>
      <c r="J187">
        <v>14861.118097</v>
      </c>
      <c r="K187" t="s">
        <v>74</v>
      </c>
      <c r="L187" t="str">
        <f>_xlfn.XLOOKUP(tblCategorySales[[#This Row],[SalesPersonID]],tblSalespersonSummary[SalesPersonID],tblSalespersonSummary[SalespersonName],"Not found")</f>
        <v>Ranjit Varkey Chudukatil</v>
      </c>
      <c r="M187" t="str">
        <f>IF(tblCategorySales[[#This Row],[SalespersonName]]=tblCategorySales[[#This Row],[ExpectedSalespersonName]],"Match","Mismatch")</f>
        <v>Match</v>
      </c>
    </row>
    <row r="188" spans="1:13" x14ac:dyDescent="0.3">
      <c r="A188">
        <v>290</v>
      </c>
      <c r="B188" t="s">
        <v>46</v>
      </c>
      <c r="C188" t="s">
        <v>47</v>
      </c>
      <c r="D188">
        <v>2012</v>
      </c>
      <c r="E188">
        <v>2</v>
      </c>
      <c r="F188">
        <v>2</v>
      </c>
      <c r="G188" t="s">
        <v>73</v>
      </c>
      <c r="H188">
        <v>11</v>
      </c>
      <c r="I188">
        <v>318</v>
      </c>
      <c r="J188">
        <v>79009.471353999994</v>
      </c>
      <c r="K188" t="s">
        <v>74</v>
      </c>
      <c r="L188" t="str">
        <f>_xlfn.XLOOKUP(tblCategorySales[[#This Row],[SalesPersonID]],tblSalespersonSummary[SalesPersonID],tblSalespersonSummary[SalespersonName],"Not found")</f>
        <v>Ranjit Varkey Chudukatil</v>
      </c>
      <c r="M188" t="str">
        <f>IF(tblCategorySales[[#This Row],[SalespersonName]]=tblCategorySales[[#This Row],[ExpectedSalespersonName]],"Match","Mismatch")</f>
        <v>Match</v>
      </c>
    </row>
    <row r="189" spans="1:13" x14ac:dyDescent="0.3">
      <c r="A189">
        <v>281</v>
      </c>
      <c r="B189" t="s">
        <v>31</v>
      </c>
      <c r="C189" t="s">
        <v>27</v>
      </c>
      <c r="D189">
        <v>2012</v>
      </c>
      <c r="E189">
        <v>2</v>
      </c>
      <c r="F189">
        <v>4</v>
      </c>
      <c r="G189" t="s">
        <v>70</v>
      </c>
      <c r="H189">
        <v>9</v>
      </c>
      <c r="I189">
        <v>128</v>
      </c>
      <c r="J189">
        <v>2172.5843799999998</v>
      </c>
      <c r="K189" t="s">
        <v>74</v>
      </c>
      <c r="L189" t="str">
        <f>_xlfn.XLOOKUP(tblCategorySales[[#This Row],[SalesPersonID]],tblSalespersonSummary[SalesPersonID],tblSalespersonSummary[SalespersonName],"Not found")</f>
        <v>Shu Ito</v>
      </c>
      <c r="M189" t="str">
        <f>IF(tblCategorySales[[#This Row],[SalespersonName]]=tblCategorySales[[#This Row],[ExpectedSalespersonName]],"Match","Mismatch")</f>
        <v>Match</v>
      </c>
    </row>
    <row r="190" spans="1:13" x14ac:dyDescent="0.3">
      <c r="A190">
        <v>281</v>
      </c>
      <c r="B190" t="s">
        <v>31</v>
      </c>
      <c r="C190" t="s">
        <v>27</v>
      </c>
      <c r="D190">
        <v>2012</v>
      </c>
      <c r="E190">
        <v>2</v>
      </c>
      <c r="F190">
        <v>1</v>
      </c>
      <c r="G190" t="s">
        <v>71</v>
      </c>
      <c r="H190">
        <v>18</v>
      </c>
      <c r="I190">
        <v>592</v>
      </c>
      <c r="J190">
        <v>404191.76397500001</v>
      </c>
      <c r="K190" t="s">
        <v>74</v>
      </c>
      <c r="L190" t="str">
        <f>_xlfn.XLOOKUP(tblCategorySales[[#This Row],[SalesPersonID]],tblSalespersonSummary[SalesPersonID],tblSalespersonSummary[SalespersonName],"Not found")</f>
        <v>Shu Ito</v>
      </c>
      <c r="M190" t="str">
        <f>IF(tblCategorySales[[#This Row],[SalespersonName]]=tblCategorySales[[#This Row],[ExpectedSalespersonName]],"Match","Mismatch")</f>
        <v>Match</v>
      </c>
    </row>
    <row r="191" spans="1:13" x14ac:dyDescent="0.3">
      <c r="A191">
        <v>281</v>
      </c>
      <c r="B191" t="s">
        <v>31</v>
      </c>
      <c r="C191" t="s">
        <v>27</v>
      </c>
      <c r="D191">
        <v>2012</v>
      </c>
      <c r="E191">
        <v>2</v>
      </c>
      <c r="F191">
        <v>3</v>
      </c>
      <c r="G191" t="s">
        <v>72</v>
      </c>
      <c r="H191">
        <v>13</v>
      </c>
      <c r="I191">
        <v>340</v>
      </c>
      <c r="J191">
        <v>9885.5051939999994</v>
      </c>
      <c r="K191" t="s">
        <v>74</v>
      </c>
      <c r="L191" t="str">
        <f>_xlfn.XLOOKUP(tblCategorySales[[#This Row],[SalesPersonID]],tblSalespersonSummary[SalesPersonID],tblSalespersonSummary[SalespersonName],"Not found")</f>
        <v>Shu Ito</v>
      </c>
      <c r="M191" t="str">
        <f>IF(tblCategorySales[[#This Row],[SalespersonName]]=tblCategorySales[[#This Row],[ExpectedSalespersonName]],"Match","Mismatch")</f>
        <v>Match</v>
      </c>
    </row>
    <row r="192" spans="1:13" x14ac:dyDescent="0.3">
      <c r="A192">
        <v>281</v>
      </c>
      <c r="B192" t="s">
        <v>31</v>
      </c>
      <c r="C192" t="s">
        <v>27</v>
      </c>
      <c r="D192">
        <v>2012</v>
      </c>
      <c r="E192">
        <v>2</v>
      </c>
      <c r="F192">
        <v>2</v>
      </c>
      <c r="G192" t="s">
        <v>73</v>
      </c>
      <c r="H192">
        <v>17</v>
      </c>
      <c r="I192">
        <v>366</v>
      </c>
      <c r="J192">
        <v>117382.4906</v>
      </c>
      <c r="K192" t="s">
        <v>74</v>
      </c>
      <c r="L192" t="str">
        <f>_xlfn.XLOOKUP(tblCategorySales[[#This Row],[SalesPersonID]],tblSalespersonSummary[SalesPersonID],tblSalespersonSummary[SalespersonName],"Not found")</f>
        <v>Shu Ito</v>
      </c>
      <c r="M192" t="str">
        <f>IF(tblCategorySales[[#This Row],[SalespersonName]]=tblCategorySales[[#This Row],[ExpectedSalespersonName]],"Match","Mismatch")</f>
        <v>Match</v>
      </c>
    </row>
    <row r="193" spans="1:13" x14ac:dyDescent="0.3">
      <c r="A193">
        <v>274</v>
      </c>
      <c r="B193" t="s">
        <v>32</v>
      </c>
      <c r="C193" t="s">
        <v>33</v>
      </c>
      <c r="D193">
        <v>2012</v>
      </c>
      <c r="E193">
        <v>2</v>
      </c>
      <c r="F193">
        <v>4</v>
      </c>
      <c r="G193" t="s">
        <v>70</v>
      </c>
      <c r="H193">
        <v>2</v>
      </c>
      <c r="I193">
        <v>46</v>
      </c>
      <c r="J193">
        <v>821.54700000000003</v>
      </c>
      <c r="K193" t="s">
        <v>75</v>
      </c>
      <c r="L193" t="str">
        <f>_xlfn.XLOOKUP(tblCategorySales[[#This Row],[SalesPersonID]],tblSalespersonSummary[SalesPersonID],tblSalespersonSummary[SalespersonName],"Not found")</f>
        <v>Stephen Jiang</v>
      </c>
      <c r="M193" t="str">
        <f>IF(tblCategorySales[[#This Row],[SalespersonName]]=tblCategorySales[[#This Row],[ExpectedSalespersonName]],"Match","Mismatch")</f>
        <v>Match</v>
      </c>
    </row>
    <row r="194" spans="1:13" x14ac:dyDescent="0.3">
      <c r="A194">
        <v>274</v>
      </c>
      <c r="B194" t="s">
        <v>32</v>
      </c>
      <c r="C194" t="s">
        <v>33</v>
      </c>
      <c r="D194">
        <v>2012</v>
      </c>
      <c r="E194">
        <v>2</v>
      </c>
      <c r="F194">
        <v>1</v>
      </c>
      <c r="G194" t="s">
        <v>71</v>
      </c>
      <c r="H194">
        <v>7</v>
      </c>
      <c r="I194">
        <v>99</v>
      </c>
      <c r="J194">
        <v>69018.270124999995</v>
      </c>
      <c r="K194" t="s">
        <v>75</v>
      </c>
      <c r="L194" t="str">
        <f>_xlfn.XLOOKUP(tblCategorySales[[#This Row],[SalesPersonID]],tblSalespersonSummary[SalesPersonID],tblSalespersonSummary[SalespersonName],"Not found")</f>
        <v>Stephen Jiang</v>
      </c>
      <c r="M194" t="str">
        <f>IF(tblCategorySales[[#This Row],[SalespersonName]]=tblCategorySales[[#This Row],[ExpectedSalespersonName]],"Match","Mismatch")</f>
        <v>Match</v>
      </c>
    </row>
    <row r="195" spans="1:13" x14ac:dyDescent="0.3">
      <c r="A195">
        <v>274</v>
      </c>
      <c r="B195" t="s">
        <v>32</v>
      </c>
      <c r="C195" t="s">
        <v>33</v>
      </c>
      <c r="D195">
        <v>2012</v>
      </c>
      <c r="E195">
        <v>2</v>
      </c>
      <c r="F195">
        <v>3</v>
      </c>
      <c r="G195" t="s">
        <v>72</v>
      </c>
      <c r="H195">
        <v>3</v>
      </c>
      <c r="I195">
        <v>152</v>
      </c>
      <c r="J195">
        <v>4463.3843749999996</v>
      </c>
      <c r="K195" t="s">
        <v>75</v>
      </c>
      <c r="L195" t="str">
        <f>_xlfn.XLOOKUP(tblCategorySales[[#This Row],[SalesPersonID]],tblSalespersonSummary[SalesPersonID],tblSalespersonSummary[SalespersonName],"Not found")</f>
        <v>Stephen Jiang</v>
      </c>
      <c r="M195" t="str">
        <f>IF(tblCategorySales[[#This Row],[SalespersonName]]=tblCategorySales[[#This Row],[ExpectedSalespersonName]],"Match","Mismatch")</f>
        <v>Match</v>
      </c>
    </row>
    <row r="196" spans="1:13" x14ac:dyDescent="0.3">
      <c r="A196">
        <v>274</v>
      </c>
      <c r="B196" t="s">
        <v>32</v>
      </c>
      <c r="C196" t="s">
        <v>33</v>
      </c>
      <c r="D196">
        <v>2012</v>
      </c>
      <c r="E196">
        <v>2</v>
      </c>
      <c r="F196">
        <v>2</v>
      </c>
      <c r="G196" t="s">
        <v>73</v>
      </c>
      <c r="H196">
        <v>5</v>
      </c>
      <c r="I196">
        <v>87</v>
      </c>
      <c r="J196">
        <v>29559.803</v>
      </c>
      <c r="K196" t="s">
        <v>75</v>
      </c>
      <c r="L196" t="str">
        <f>_xlfn.XLOOKUP(tblCategorySales[[#This Row],[SalesPersonID]],tblSalespersonSummary[SalesPersonID],tblSalespersonSummary[SalespersonName],"Not found")</f>
        <v>Stephen Jiang</v>
      </c>
      <c r="M196" t="str">
        <f>IF(tblCategorySales[[#This Row],[SalespersonName]]=tblCategorySales[[#This Row],[ExpectedSalespersonName]],"Match","Mismatch")</f>
        <v>Match</v>
      </c>
    </row>
    <row r="197" spans="1:13" x14ac:dyDescent="0.3">
      <c r="A197">
        <v>279</v>
      </c>
      <c r="B197" t="s">
        <v>34</v>
      </c>
      <c r="C197" t="s">
        <v>35</v>
      </c>
      <c r="D197">
        <v>2012</v>
      </c>
      <c r="E197">
        <v>2</v>
      </c>
      <c r="F197">
        <v>4</v>
      </c>
      <c r="G197" t="s">
        <v>70</v>
      </c>
      <c r="H197">
        <v>13</v>
      </c>
      <c r="I197">
        <v>168</v>
      </c>
      <c r="J197">
        <v>2802.5436300000001</v>
      </c>
      <c r="K197" t="s">
        <v>74</v>
      </c>
      <c r="L197" t="str">
        <f>_xlfn.XLOOKUP(tblCategorySales[[#This Row],[SalesPersonID]],tblSalespersonSummary[SalesPersonID],tblSalespersonSummary[SalespersonName],"Not found")</f>
        <v>Tsvi Reiter</v>
      </c>
      <c r="M197" t="str">
        <f>IF(tblCategorySales[[#This Row],[SalespersonName]]=tblCategorySales[[#This Row],[ExpectedSalespersonName]],"Match","Mismatch")</f>
        <v>Match</v>
      </c>
    </row>
    <row r="198" spans="1:13" x14ac:dyDescent="0.3">
      <c r="A198">
        <v>279</v>
      </c>
      <c r="B198" t="s">
        <v>34</v>
      </c>
      <c r="C198" t="s">
        <v>35</v>
      </c>
      <c r="D198">
        <v>2012</v>
      </c>
      <c r="E198">
        <v>2</v>
      </c>
      <c r="F198">
        <v>1</v>
      </c>
      <c r="G198" t="s">
        <v>71</v>
      </c>
      <c r="H198">
        <v>33</v>
      </c>
      <c r="I198">
        <v>596</v>
      </c>
      <c r="J198">
        <v>453617.833889</v>
      </c>
      <c r="K198" t="s">
        <v>74</v>
      </c>
      <c r="L198" t="str">
        <f>_xlfn.XLOOKUP(tblCategorySales[[#This Row],[SalesPersonID]],tblSalespersonSummary[SalesPersonID],tblSalespersonSummary[SalespersonName],"Not found")</f>
        <v>Tsvi Reiter</v>
      </c>
      <c r="M198" t="str">
        <f>IF(tblCategorySales[[#This Row],[SalespersonName]]=tblCategorySales[[#This Row],[ExpectedSalespersonName]],"Match","Mismatch")</f>
        <v>Match</v>
      </c>
    </row>
    <row r="199" spans="1:13" x14ac:dyDescent="0.3">
      <c r="A199">
        <v>279</v>
      </c>
      <c r="B199" t="s">
        <v>34</v>
      </c>
      <c r="C199" t="s">
        <v>35</v>
      </c>
      <c r="D199">
        <v>2012</v>
      </c>
      <c r="E199">
        <v>2</v>
      </c>
      <c r="F199">
        <v>3</v>
      </c>
      <c r="G199" t="s">
        <v>72</v>
      </c>
      <c r="H199">
        <v>20</v>
      </c>
      <c r="I199">
        <v>691</v>
      </c>
      <c r="J199">
        <v>19451.789677000001</v>
      </c>
      <c r="K199" t="s">
        <v>74</v>
      </c>
      <c r="L199" t="str">
        <f>_xlfn.XLOOKUP(tblCategorySales[[#This Row],[SalesPersonID]],tblSalespersonSummary[SalesPersonID],tblSalespersonSummary[SalespersonName],"Not found")</f>
        <v>Tsvi Reiter</v>
      </c>
      <c r="M199" t="str">
        <f>IF(tblCategorySales[[#This Row],[SalespersonName]]=tblCategorySales[[#This Row],[ExpectedSalespersonName]],"Match","Mismatch")</f>
        <v>Match</v>
      </c>
    </row>
    <row r="200" spans="1:13" x14ac:dyDescent="0.3">
      <c r="A200">
        <v>279</v>
      </c>
      <c r="B200" t="s">
        <v>34</v>
      </c>
      <c r="C200" t="s">
        <v>35</v>
      </c>
      <c r="D200">
        <v>2012</v>
      </c>
      <c r="E200">
        <v>2</v>
      </c>
      <c r="F200">
        <v>2</v>
      </c>
      <c r="G200" t="s">
        <v>73</v>
      </c>
      <c r="H200">
        <v>33</v>
      </c>
      <c r="I200">
        <v>477</v>
      </c>
      <c r="J200">
        <v>136499.59940000001</v>
      </c>
      <c r="K200" t="s">
        <v>74</v>
      </c>
      <c r="L200" t="str">
        <f>_xlfn.XLOOKUP(tblCategorySales[[#This Row],[SalesPersonID]],tblSalespersonSummary[SalesPersonID],tblSalespersonSummary[SalespersonName],"Not found")</f>
        <v>Tsvi Reiter</v>
      </c>
      <c r="M200" t="str">
        <f>IF(tblCategorySales[[#This Row],[SalespersonName]]=tblCategorySales[[#This Row],[ExpectedSalespersonName]],"Match","Mismatch")</f>
        <v>Match</v>
      </c>
    </row>
    <row r="201" spans="1:13" x14ac:dyDescent="0.3">
      <c r="A201">
        <v>287</v>
      </c>
      <c r="B201" t="s">
        <v>42</v>
      </c>
      <c r="C201" t="s">
        <v>33</v>
      </c>
      <c r="D201">
        <v>2012</v>
      </c>
      <c r="E201">
        <v>3</v>
      </c>
      <c r="F201">
        <v>4</v>
      </c>
      <c r="G201" t="s">
        <v>70</v>
      </c>
      <c r="H201">
        <v>1</v>
      </c>
      <c r="I201">
        <v>2</v>
      </c>
      <c r="J201">
        <v>40.372999999999998</v>
      </c>
      <c r="K201" t="s">
        <v>74</v>
      </c>
      <c r="L201" t="str">
        <f>_xlfn.XLOOKUP(tblCategorySales[[#This Row],[SalesPersonID]],tblSalespersonSummary[SalesPersonID],tblSalespersonSummary[SalespersonName],"Not found")</f>
        <v>Amy Alberts</v>
      </c>
      <c r="M201" t="str">
        <f>IF(tblCategorySales[[#This Row],[SalespersonName]]=tblCategorySales[[#This Row],[ExpectedSalespersonName]],"Match","Mismatch")</f>
        <v>Match</v>
      </c>
    </row>
    <row r="202" spans="1:13" x14ac:dyDescent="0.3">
      <c r="A202">
        <v>287</v>
      </c>
      <c r="B202" t="s">
        <v>42</v>
      </c>
      <c r="C202" t="s">
        <v>33</v>
      </c>
      <c r="D202">
        <v>2012</v>
      </c>
      <c r="E202">
        <v>3</v>
      </c>
      <c r="F202">
        <v>1</v>
      </c>
      <c r="G202" t="s">
        <v>71</v>
      </c>
      <c r="H202">
        <v>2</v>
      </c>
      <c r="I202">
        <v>14</v>
      </c>
      <c r="J202">
        <v>11921.5561</v>
      </c>
      <c r="K202" t="s">
        <v>74</v>
      </c>
      <c r="L202" t="str">
        <f>_xlfn.XLOOKUP(tblCategorySales[[#This Row],[SalesPersonID]],tblSalespersonSummary[SalesPersonID],tblSalespersonSummary[SalespersonName],"Not found")</f>
        <v>Amy Alberts</v>
      </c>
      <c r="M202" t="str">
        <f>IF(tblCategorySales[[#This Row],[SalespersonName]]=tblCategorySales[[#This Row],[ExpectedSalespersonName]],"Match","Mismatch")</f>
        <v>Match</v>
      </c>
    </row>
    <row r="203" spans="1:13" x14ac:dyDescent="0.3">
      <c r="A203">
        <v>287</v>
      </c>
      <c r="B203" t="s">
        <v>42</v>
      </c>
      <c r="C203" t="s">
        <v>33</v>
      </c>
      <c r="D203">
        <v>2012</v>
      </c>
      <c r="E203">
        <v>3</v>
      </c>
      <c r="F203">
        <v>3</v>
      </c>
      <c r="G203" t="s">
        <v>72</v>
      </c>
      <c r="H203">
        <v>2</v>
      </c>
      <c r="I203">
        <v>11</v>
      </c>
      <c r="J203">
        <v>294.21179999999998</v>
      </c>
      <c r="K203" t="s">
        <v>74</v>
      </c>
      <c r="L203" t="str">
        <f>_xlfn.XLOOKUP(tblCategorySales[[#This Row],[SalesPersonID]],tblSalespersonSummary[SalesPersonID],tblSalespersonSummary[SalespersonName],"Not found")</f>
        <v>Amy Alberts</v>
      </c>
      <c r="M203" t="str">
        <f>IF(tblCategorySales[[#This Row],[SalespersonName]]=tblCategorySales[[#This Row],[ExpectedSalespersonName]],"Match","Mismatch")</f>
        <v>Match</v>
      </c>
    </row>
    <row r="204" spans="1:13" x14ac:dyDescent="0.3">
      <c r="A204">
        <v>287</v>
      </c>
      <c r="B204" t="s">
        <v>42</v>
      </c>
      <c r="C204" t="s">
        <v>33</v>
      </c>
      <c r="D204">
        <v>2012</v>
      </c>
      <c r="E204">
        <v>3</v>
      </c>
      <c r="F204">
        <v>2</v>
      </c>
      <c r="G204" t="s">
        <v>73</v>
      </c>
      <c r="H204">
        <v>1</v>
      </c>
      <c r="I204">
        <v>2</v>
      </c>
      <c r="J204">
        <v>391.99169999999998</v>
      </c>
      <c r="K204" t="s">
        <v>74</v>
      </c>
      <c r="L204" t="str">
        <f>_xlfn.XLOOKUP(tblCategorySales[[#This Row],[SalesPersonID]],tblSalespersonSummary[SalesPersonID],tblSalespersonSummary[SalespersonName],"Not found")</f>
        <v>Amy Alberts</v>
      </c>
      <c r="M204" t="str">
        <f>IF(tblCategorySales[[#This Row],[SalespersonName]]=tblCategorySales[[#This Row],[ExpectedSalespersonName]],"Match","Mismatch")</f>
        <v>Match</v>
      </c>
    </row>
    <row r="205" spans="1:13" x14ac:dyDescent="0.3">
      <c r="A205">
        <v>283</v>
      </c>
      <c r="B205" t="s">
        <v>15</v>
      </c>
      <c r="C205" t="s">
        <v>16</v>
      </c>
      <c r="D205">
        <v>2012</v>
      </c>
      <c r="E205">
        <v>3</v>
      </c>
      <c r="F205">
        <v>4</v>
      </c>
      <c r="G205" t="s">
        <v>70</v>
      </c>
      <c r="H205">
        <v>6</v>
      </c>
      <c r="I205">
        <v>61</v>
      </c>
      <c r="J205">
        <v>1103.5985000000001</v>
      </c>
      <c r="K205" t="s">
        <v>74</v>
      </c>
      <c r="L205" t="str">
        <f>_xlfn.XLOOKUP(tblCategorySales[[#This Row],[SalesPersonID]],tblSalespersonSummary[SalesPersonID],tblSalespersonSummary[SalespersonName],"Not found")</f>
        <v>David Campbell</v>
      </c>
      <c r="M205" t="str">
        <f>IF(tblCategorySales[[#This Row],[SalespersonName]]=tblCategorySales[[#This Row],[ExpectedSalespersonName]],"Match","Mismatch")</f>
        <v>Match</v>
      </c>
    </row>
    <row r="206" spans="1:13" x14ac:dyDescent="0.3">
      <c r="A206">
        <v>283</v>
      </c>
      <c r="B206" t="s">
        <v>15</v>
      </c>
      <c r="C206" t="s">
        <v>16</v>
      </c>
      <c r="D206">
        <v>2012</v>
      </c>
      <c r="E206">
        <v>3</v>
      </c>
      <c r="F206">
        <v>1</v>
      </c>
      <c r="G206" t="s">
        <v>71</v>
      </c>
      <c r="H206">
        <v>11</v>
      </c>
      <c r="I206">
        <v>306</v>
      </c>
      <c r="J206">
        <v>260710.54942</v>
      </c>
      <c r="K206" t="s">
        <v>74</v>
      </c>
      <c r="L206" t="str">
        <f>_xlfn.XLOOKUP(tblCategorySales[[#This Row],[SalesPersonID]],tblSalespersonSummary[SalesPersonID],tblSalespersonSummary[SalespersonName],"Not found")</f>
        <v>David Campbell</v>
      </c>
      <c r="M206" t="str">
        <f>IF(tblCategorySales[[#This Row],[SalespersonName]]=tblCategorySales[[#This Row],[ExpectedSalespersonName]],"Match","Mismatch")</f>
        <v>Match</v>
      </c>
    </row>
    <row r="207" spans="1:13" x14ac:dyDescent="0.3">
      <c r="A207">
        <v>283</v>
      </c>
      <c r="B207" t="s">
        <v>15</v>
      </c>
      <c r="C207" t="s">
        <v>16</v>
      </c>
      <c r="D207">
        <v>2012</v>
      </c>
      <c r="E207">
        <v>3</v>
      </c>
      <c r="F207">
        <v>3</v>
      </c>
      <c r="G207" t="s">
        <v>72</v>
      </c>
      <c r="H207">
        <v>7</v>
      </c>
      <c r="I207">
        <v>204</v>
      </c>
      <c r="J207">
        <v>6039.0116159999998</v>
      </c>
      <c r="K207" t="s">
        <v>74</v>
      </c>
      <c r="L207" t="str">
        <f>_xlfn.XLOOKUP(tblCategorySales[[#This Row],[SalesPersonID]],tblSalespersonSummary[SalesPersonID],tblSalespersonSummary[SalespersonName],"Not found")</f>
        <v>David Campbell</v>
      </c>
      <c r="M207" t="str">
        <f>IF(tblCategorySales[[#This Row],[SalespersonName]]=tblCategorySales[[#This Row],[ExpectedSalespersonName]],"Match","Mismatch")</f>
        <v>Match</v>
      </c>
    </row>
    <row r="208" spans="1:13" x14ac:dyDescent="0.3">
      <c r="A208">
        <v>283</v>
      </c>
      <c r="B208" t="s">
        <v>15</v>
      </c>
      <c r="C208" t="s">
        <v>16</v>
      </c>
      <c r="D208">
        <v>2012</v>
      </c>
      <c r="E208">
        <v>3</v>
      </c>
      <c r="F208">
        <v>2</v>
      </c>
      <c r="G208" t="s">
        <v>73</v>
      </c>
      <c r="H208">
        <v>8</v>
      </c>
      <c r="I208">
        <v>191</v>
      </c>
      <c r="J208">
        <v>43354.502399999998</v>
      </c>
      <c r="K208" t="s">
        <v>74</v>
      </c>
      <c r="L208" t="str">
        <f>_xlfn.XLOOKUP(tblCategorySales[[#This Row],[SalesPersonID]],tblSalespersonSummary[SalesPersonID],tblSalespersonSummary[SalespersonName],"Not found")</f>
        <v>David Campbell</v>
      </c>
      <c r="M208" t="str">
        <f>IF(tblCategorySales[[#This Row],[SalespersonName]]=tblCategorySales[[#This Row],[ExpectedSalespersonName]],"Match","Mismatch")</f>
        <v>Match</v>
      </c>
    </row>
    <row r="209" spans="1:13" x14ac:dyDescent="0.3">
      <c r="A209">
        <v>278</v>
      </c>
      <c r="B209" t="s">
        <v>21</v>
      </c>
      <c r="C209" t="s">
        <v>22</v>
      </c>
      <c r="D209">
        <v>2012</v>
      </c>
      <c r="E209">
        <v>3</v>
      </c>
      <c r="F209">
        <v>4</v>
      </c>
      <c r="G209" t="s">
        <v>70</v>
      </c>
      <c r="H209">
        <v>7</v>
      </c>
      <c r="I209">
        <v>141</v>
      </c>
      <c r="J209">
        <v>2565.3375000000001</v>
      </c>
      <c r="K209" t="s">
        <v>74</v>
      </c>
      <c r="L209" t="str">
        <f>_xlfn.XLOOKUP(tblCategorySales[[#This Row],[SalesPersonID]],tblSalespersonSummary[SalesPersonID],tblSalespersonSummary[SalespersonName],"Not found")</f>
        <v>Garrett Vargas</v>
      </c>
      <c r="M209" t="str">
        <f>IF(tblCategorySales[[#This Row],[SalespersonName]]=tblCategorySales[[#This Row],[ExpectedSalespersonName]],"Match","Mismatch")</f>
        <v>Match</v>
      </c>
    </row>
    <row r="210" spans="1:13" x14ac:dyDescent="0.3">
      <c r="A210">
        <v>278</v>
      </c>
      <c r="B210" t="s">
        <v>21</v>
      </c>
      <c r="C210" t="s">
        <v>22</v>
      </c>
      <c r="D210">
        <v>2012</v>
      </c>
      <c r="E210">
        <v>3</v>
      </c>
      <c r="F210">
        <v>1</v>
      </c>
      <c r="G210" t="s">
        <v>71</v>
      </c>
      <c r="H210">
        <v>16</v>
      </c>
      <c r="I210">
        <v>364</v>
      </c>
      <c r="J210">
        <v>243961.640124</v>
      </c>
      <c r="K210" t="s">
        <v>74</v>
      </c>
      <c r="L210" t="str">
        <f>_xlfn.XLOOKUP(tblCategorySales[[#This Row],[SalesPersonID]],tblSalespersonSummary[SalesPersonID],tblSalespersonSummary[SalespersonName],"Not found")</f>
        <v>Garrett Vargas</v>
      </c>
      <c r="M210" t="str">
        <f>IF(tblCategorySales[[#This Row],[SalespersonName]]=tblCategorySales[[#This Row],[ExpectedSalespersonName]],"Match","Mismatch")</f>
        <v>Match</v>
      </c>
    </row>
    <row r="211" spans="1:13" x14ac:dyDescent="0.3">
      <c r="A211">
        <v>278</v>
      </c>
      <c r="B211" t="s">
        <v>21</v>
      </c>
      <c r="C211" t="s">
        <v>22</v>
      </c>
      <c r="D211">
        <v>2012</v>
      </c>
      <c r="E211">
        <v>3</v>
      </c>
      <c r="F211">
        <v>3</v>
      </c>
      <c r="G211" t="s">
        <v>72</v>
      </c>
      <c r="H211">
        <v>15</v>
      </c>
      <c r="I211">
        <v>497</v>
      </c>
      <c r="J211">
        <v>16110.503064</v>
      </c>
      <c r="K211" t="s">
        <v>74</v>
      </c>
      <c r="L211" t="str">
        <f>_xlfn.XLOOKUP(tblCategorySales[[#This Row],[SalesPersonID]],tblSalespersonSummary[SalesPersonID],tblSalespersonSummary[SalespersonName],"Not found")</f>
        <v>Garrett Vargas</v>
      </c>
      <c r="M211" t="str">
        <f>IF(tblCategorySales[[#This Row],[SalespersonName]]=tblCategorySales[[#This Row],[ExpectedSalespersonName]],"Match","Mismatch")</f>
        <v>Match</v>
      </c>
    </row>
    <row r="212" spans="1:13" x14ac:dyDescent="0.3">
      <c r="A212">
        <v>278</v>
      </c>
      <c r="B212" t="s">
        <v>21</v>
      </c>
      <c r="C212" t="s">
        <v>22</v>
      </c>
      <c r="D212">
        <v>2012</v>
      </c>
      <c r="E212">
        <v>3</v>
      </c>
      <c r="F212">
        <v>2</v>
      </c>
      <c r="G212" t="s">
        <v>73</v>
      </c>
      <c r="H212">
        <v>19</v>
      </c>
      <c r="I212">
        <v>221</v>
      </c>
      <c r="J212">
        <v>54180.5867</v>
      </c>
      <c r="K212" t="s">
        <v>74</v>
      </c>
      <c r="L212" t="str">
        <f>_xlfn.XLOOKUP(tblCategorySales[[#This Row],[SalesPersonID]],tblSalespersonSummary[SalesPersonID],tblSalespersonSummary[SalespersonName],"Not found")</f>
        <v>Garrett Vargas</v>
      </c>
      <c r="M212" t="str">
        <f>IF(tblCategorySales[[#This Row],[SalespersonName]]=tblCategorySales[[#This Row],[ExpectedSalespersonName]],"Match","Mismatch")</f>
        <v>Match</v>
      </c>
    </row>
    <row r="213" spans="1:13" x14ac:dyDescent="0.3">
      <c r="A213">
        <v>289</v>
      </c>
      <c r="B213" t="s">
        <v>44</v>
      </c>
      <c r="C213" t="s">
        <v>45</v>
      </c>
      <c r="D213">
        <v>2012</v>
      </c>
      <c r="E213">
        <v>3</v>
      </c>
      <c r="F213">
        <v>4</v>
      </c>
      <c r="G213" t="s">
        <v>70</v>
      </c>
      <c r="H213">
        <v>16</v>
      </c>
      <c r="I213">
        <v>358</v>
      </c>
      <c r="J213">
        <v>6416.6703079999997</v>
      </c>
      <c r="K213" t="s">
        <v>74</v>
      </c>
      <c r="L213" t="str">
        <f>_xlfn.XLOOKUP(tblCategorySales[[#This Row],[SalesPersonID]],tblSalespersonSummary[SalesPersonID],tblSalespersonSummary[SalespersonName],"Not found")</f>
        <v>Jae Pak</v>
      </c>
      <c r="M213" t="str">
        <f>IF(tblCategorySales[[#This Row],[SalespersonName]]=tblCategorySales[[#This Row],[ExpectedSalespersonName]],"Match","Mismatch")</f>
        <v>Match</v>
      </c>
    </row>
    <row r="214" spans="1:13" x14ac:dyDescent="0.3">
      <c r="A214">
        <v>289</v>
      </c>
      <c r="B214" t="s">
        <v>44</v>
      </c>
      <c r="C214" t="s">
        <v>45</v>
      </c>
      <c r="D214">
        <v>2012</v>
      </c>
      <c r="E214">
        <v>3</v>
      </c>
      <c r="F214">
        <v>1</v>
      </c>
      <c r="G214" t="s">
        <v>71</v>
      </c>
      <c r="H214">
        <v>32</v>
      </c>
      <c r="I214">
        <v>1002</v>
      </c>
      <c r="J214">
        <v>875241.47354000004</v>
      </c>
      <c r="K214" t="s">
        <v>74</v>
      </c>
      <c r="L214" t="str">
        <f>_xlfn.XLOOKUP(tblCategorySales[[#This Row],[SalesPersonID]],tblSalespersonSummary[SalesPersonID],tblSalespersonSummary[SalespersonName],"Not found")</f>
        <v>Jae Pak</v>
      </c>
      <c r="M214" t="str">
        <f>IF(tblCategorySales[[#This Row],[SalespersonName]]=tblCategorySales[[#This Row],[ExpectedSalespersonName]],"Match","Mismatch")</f>
        <v>Match</v>
      </c>
    </row>
    <row r="215" spans="1:13" x14ac:dyDescent="0.3">
      <c r="A215">
        <v>289</v>
      </c>
      <c r="B215" t="s">
        <v>44</v>
      </c>
      <c r="C215" t="s">
        <v>45</v>
      </c>
      <c r="D215">
        <v>2012</v>
      </c>
      <c r="E215">
        <v>3</v>
      </c>
      <c r="F215">
        <v>3</v>
      </c>
      <c r="G215" t="s">
        <v>72</v>
      </c>
      <c r="H215">
        <v>33</v>
      </c>
      <c r="I215">
        <v>1149</v>
      </c>
      <c r="J215">
        <v>35493.513425999998</v>
      </c>
      <c r="K215" t="s">
        <v>74</v>
      </c>
      <c r="L215" t="str">
        <f>_xlfn.XLOOKUP(tblCategorySales[[#This Row],[SalesPersonID]],tblSalespersonSummary[SalesPersonID],tblSalespersonSummary[SalespersonName],"Not found")</f>
        <v>Jae Pak</v>
      </c>
      <c r="M215" t="str">
        <f>IF(tblCategorySales[[#This Row],[SalespersonName]]=tblCategorySales[[#This Row],[ExpectedSalespersonName]],"Match","Mismatch")</f>
        <v>Match</v>
      </c>
    </row>
    <row r="216" spans="1:13" x14ac:dyDescent="0.3">
      <c r="A216">
        <v>289</v>
      </c>
      <c r="B216" t="s">
        <v>44</v>
      </c>
      <c r="C216" t="s">
        <v>45</v>
      </c>
      <c r="D216">
        <v>2012</v>
      </c>
      <c r="E216">
        <v>3</v>
      </c>
      <c r="F216">
        <v>2</v>
      </c>
      <c r="G216" t="s">
        <v>73</v>
      </c>
      <c r="H216">
        <v>31</v>
      </c>
      <c r="I216">
        <v>1004</v>
      </c>
      <c r="J216">
        <v>233811.62697400001</v>
      </c>
      <c r="K216" t="s">
        <v>74</v>
      </c>
      <c r="L216" t="str">
        <f>_xlfn.XLOOKUP(tblCategorySales[[#This Row],[SalesPersonID]],tblSalespersonSummary[SalesPersonID],tblSalespersonSummary[SalespersonName],"Not found")</f>
        <v>Jae Pak</v>
      </c>
      <c r="M216" t="str">
        <f>IF(tblCategorySales[[#This Row],[SalespersonName]]=tblCategorySales[[#This Row],[ExpectedSalespersonName]],"Match","Mismatch")</f>
        <v>Match</v>
      </c>
    </row>
    <row r="217" spans="1:13" x14ac:dyDescent="0.3">
      <c r="A217">
        <v>277</v>
      </c>
      <c r="B217" t="s">
        <v>23</v>
      </c>
      <c r="C217" t="s">
        <v>24</v>
      </c>
      <c r="D217">
        <v>2012</v>
      </c>
      <c r="E217">
        <v>3</v>
      </c>
      <c r="F217">
        <v>4</v>
      </c>
      <c r="G217" t="s">
        <v>70</v>
      </c>
      <c r="H217">
        <v>15</v>
      </c>
      <c r="I217">
        <v>234</v>
      </c>
      <c r="J217">
        <v>4157.2115919999997</v>
      </c>
      <c r="K217" t="s">
        <v>74</v>
      </c>
      <c r="L217" t="str">
        <f>_xlfn.XLOOKUP(tblCategorySales[[#This Row],[SalesPersonID]],tblSalespersonSummary[SalesPersonID],tblSalespersonSummary[SalespersonName],"Not found")</f>
        <v>Jillian Carson</v>
      </c>
      <c r="M217" t="str">
        <f>IF(tblCategorySales[[#This Row],[SalespersonName]]=tblCategorySales[[#This Row],[ExpectedSalespersonName]],"Match","Mismatch")</f>
        <v>Match</v>
      </c>
    </row>
    <row r="218" spans="1:13" x14ac:dyDescent="0.3">
      <c r="A218">
        <v>277</v>
      </c>
      <c r="B218" t="s">
        <v>23</v>
      </c>
      <c r="C218" t="s">
        <v>24</v>
      </c>
      <c r="D218">
        <v>2012</v>
      </c>
      <c r="E218">
        <v>3</v>
      </c>
      <c r="F218">
        <v>1</v>
      </c>
      <c r="G218" t="s">
        <v>71</v>
      </c>
      <c r="H218">
        <v>29</v>
      </c>
      <c r="I218">
        <v>1146</v>
      </c>
      <c r="J218">
        <v>933475.17200599995</v>
      </c>
      <c r="K218" t="s">
        <v>74</v>
      </c>
      <c r="L218" t="str">
        <f>_xlfn.XLOOKUP(tblCategorySales[[#This Row],[SalesPersonID]],tblSalespersonSummary[SalesPersonID],tblSalespersonSummary[SalespersonName],"Not found")</f>
        <v>Jillian Carson</v>
      </c>
      <c r="M218" t="str">
        <f>IF(tblCategorySales[[#This Row],[SalespersonName]]=tblCategorySales[[#This Row],[ExpectedSalespersonName]],"Match","Mismatch")</f>
        <v>Match</v>
      </c>
    </row>
    <row r="219" spans="1:13" x14ac:dyDescent="0.3">
      <c r="A219">
        <v>277</v>
      </c>
      <c r="B219" t="s">
        <v>23</v>
      </c>
      <c r="C219" t="s">
        <v>24</v>
      </c>
      <c r="D219">
        <v>2012</v>
      </c>
      <c r="E219">
        <v>3</v>
      </c>
      <c r="F219">
        <v>3</v>
      </c>
      <c r="G219" t="s">
        <v>72</v>
      </c>
      <c r="H219">
        <v>27</v>
      </c>
      <c r="I219">
        <v>762</v>
      </c>
      <c r="J219">
        <v>23576.336394999998</v>
      </c>
      <c r="K219" t="s">
        <v>74</v>
      </c>
      <c r="L219" t="str">
        <f>_xlfn.XLOOKUP(tblCategorySales[[#This Row],[SalesPersonID]],tblSalespersonSummary[SalesPersonID],tblSalespersonSummary[SalespersonName],"Not found")</f>
        <v>Jillian Carson</v>
      </c>
      <c r="M219" t="str">
        <f>IF(tblCategorySales[[#This Row],[SalespersonName]]=tblCategorySales[[#This Row],[ExpectedSalespersonName]],"Match","Mismatch")</f>
        <v>Match</v>
      </c>
    </row>
    <row r="220" spans="1:13" x14ac:dyDescent="0.3">
      <c r="A220">
        <v>277</v>
      </c>
      <c r="B220" t="s">
        <v>23</v>
      </c>
      <c r="C220" t="s">
        <v>24</v>
      </c>
      <c r="D220">
        <v>2012</v>
      </c>
      <c r="E220">
        <v>3</v>
      </c>
      <c r="F220">
        <v>2</v>
      </c>
      <c r="G220" t="s">
        <v>73</v>
      </c>
      <c r="H220">
        <v>31</v>
      </c>
      <c r="I220">
        <v>843</v>
      </c>
      <c r="J220">
        <v>195507.91829999999</v>
      </c>
      <c r="K220" t="s">
        <v>74</v>
      </c>
      <c r="L220" t="str">
        <f>_xlfn.XLOOKUP(tblCategorySales[[#This Row],[SalesPersonID]],tblSalespersonSummary[SalesPersonID],tblSalespersonSummary[SalespersonName],"Not found")</f>
        <v>Jillian Carson</v>
      </c>
      <c r="M220" t="str">
        <f>IF(tblCategorySales[[#This Row],[SalespersonName]]=tblCategorySales[[#This Row],[ExpectedSalespersonName]],"Match","Mismatch")</f>
        <v>Match</v>
      </c>
    </row>
    <row r="221" spans="1:13" x14ac:dyDescent="0.3">
      <c r="A221">
        <v>282</v>
      </c>
      <c r="B221" t="s">
        <v>25</v>
      </c>
      <c r="C221" t="s">
        <v>22</v>
      </c>
      <c r="D221">
        <v>2012</v>
      </c>
      <c r="E221">
        <v>3</v>
      </c>
      <c r="F221">
        <v>4</v>
      </c>
      <c r="G221" t="s">
        <v>70</v>
      </c>
      <c r="H221">
        <v>7</v>
      </c>
      <c r="I221">
        <v>109</v>
      </c>
      <c r="J221">
        <v>1954.8495</v>
      </c>
      <c r="K221" t="s">
        <v>74</v>
      </c>
      <c r="L221" t="str">
        <f>_xlfn.XLOOKUP(tblCategorySales[[#This Row],[SalesPersonID]],tblSalespersonSummary[SalesPersonID],tblSalespersonSummary[SalespersonName],"Not found")</f>
        <v>José Saraiva</v>
      </c>
      <c r="M221" t="str">
        <f>IF(tblCategorySales[[#This Row],[SalespersonName]]=tblCategorySales[[#This Row],[ExpectedSalespersonName]],"Match","Mismatch")</f>
        <v>Match</v>
      </c>
    </row>
    <row r="222" spans="1:13" x14ac:dyDescent="0.3">
      <c r="A222">
        <v>282</v>
      </c>
      <c r="B222" t="s">
        <v>25</v>
      </c>
      <c r="C222" t="s">
        <v>22</v>
      </c>
      <c r="D222">
        <v>2012</v>
      </c>
      <c r="E222">
        <v>3</v>
      </c>
      <c r="F222">
        <v>1</v>
      </c>
      <c r="G222" t="s">
        <v>71</v>
      </c>
      <c r="H222">
        <v>12</v>
      </c>
      <c r="I222">
        <v>367</v>
      </c>
      <c r="J222">
        <v>326736.00907999999</v>
      </c>
      <c r="K222" t="s">
        <v>74</v>
      </c>
      <c r="L222" t="str">
        <f>_xlfn.XLOOKUP(tblCategorySales[[#This Row],[SalesPersonID]],tblSalespersonSummary[SalesPersonID],tblSalespersonSummary[SalespersonName],"Not found")</f>
        <v>José Saraiva</v>
      </c>
      <c r="M222" t="str">
        <f>IF(tblCategorySales[[#This Row],[SalespersonName]]=tblCategorySales[[#This Row],[ExpectedSalespersonName]],"Match","Mismatch")</f>
        <v>Match</v>
      </c>
    </row>
    <row r="223" spans="1:13" x14ac:dyDescent="0.3">
      <c r="A223">
        <v>282</v>
      </c>
      <c r="B223" t="s">
        <v>25</v>
      </c>
      <c r="C223" t="s">
        <v>22</v>
      </c>
      <c r="D223">
        <v>2012</v>
      </c>
      <c r="E223">
        <v>3</v>
      </c>
      <c r="F223">
        <v>3</v>
      </c>
      <c r="G223" t="s">
        <v>72</v>
      </c>
      <c r="H223">
        <v>10</v>
      </c>
      <c r="I223">
        <v>360</v>
      </c>
      <c r="J223">
        <v>11086.008694</v>
      </c>
      <c r="K223" t="s">
        <v>74</v>
      </c>
      <c r="L223" t="str">
        <f>_xlfn.XLOOKUP(tblCategorySales[[#This Row],[SalesPersonID]],tblSalespersonSummary[SalesPersonID],tblSalespersonSummary[SalespersonName],"Not found")</f>
        <v>José Saraiva</v>
      </c>
      <c r="M223" t="str">
        <f>IF(tblCategorySales[[#This Row],[SalespersonName]]=tblCategorySales[[#This Row],[ExpectedSalespersonName]],"Match","Mismatch")</f>
        <v>Match</v>
      </c>
    </row>
    <row r="224" spans="1:13" x14ac:dyDescent="0.3">
      <c r="A224">
        <v>282</v>
      </c>
      <c r="B224" t="s">
        <v>25</v>
      </c>
      <c r="C224" t="s">
        <v>22</v>
      </c>
      <c r="D224">
        <v>2012</v>
      </c>
      <c r="E224">
        <v>3</v>
      </c>
      <c r="F224">
        <v>2</v>
      </c>
      <c r="G224" t="s">
        <v>73</v>
      </c>
      <c r="H224">
        <v>13</v>
      </c>
      <c r="I224">
        <v>322</v>
      </c>
      <c r="J224">
        <v>68637.943157000002</v>
      </c>
      <c r="K224" t="s">
        <v>74</v>
      </c>
      <c r="L224" t="str">
        <f>_xlfn.XLOOKUP(tblCategorySales[[#This Row],[SalesPersonID]],tblSalespersonSummary[SalesPersonID],tblSalespersonSummary[SalespersonName],"Not found")</f>
        <v>José Saraiva</v>
      </c>
      <c r="M224" t="str">
        <f>IF(tblCategorySales[[#This Row],[SalespersonName]]=tblCategorySales[[#This Row],[ExpectedSalespersonName]],"Match","Mismatch")</f>
        <v>Match</v>
      </c>
    </row>
    <row r="225" spans="1:13" x14ac:dyDescent="0.3">
      <c r="A225">
        <v>276</v>
      </c>
      <c r="B225" t="s">
        <v>26</v>
      </c>
      <c r="C225" t="s">
        <v>27</v>
      </c>
      <c r="D225">
        <v>2012</v>
      </c>
      <c r="E225">
        <v>3</v>
      </c>
      <c r="F225">
        <v>4</v>
      </c>
      <c r="G225" t="s">
        <v>70</v>
      </c>
      <c r="H225">
        <v>17</v>
      </c>
      <c r="I225">
        <v>348</v>
      </c>
      <c r="J225">
        <v>5992.7440989999996</v>
      </c>
      <c r="K225" t="s">
        <v>75</v>
      </c>
      <c r="L225" t="str">
        <f>_xlfn.XLOOKUP(tblCategorySales[[#This Row],[SalesPersonID]],tblSalespersonSummary[SalesPersonID],tblSalespersonSummary[SalespersonName],"Not found")</f>
        <v>Linda Mitchell</v>
      </c>
      <c r="M225" t="str">
        <f>IF(tblCategorySales[[#This Row],[SalespersonName]]=tblCategorySales[[#This Row],[ExpectedSalespersonName]],"Match","Mismatch")</f>
        <v>Match</v>
      </c>
    </row>
    <row r="226" spans="1:13" x14ac:dyDescent="0.3">
      <c r="A226">
        <v>276</v>
      </c>
      <c r="B226" t="s">
        <v>26</v>
      </c>
      <c r="C226" t="s">
        <v>27</v>
      </c>
      <c r="D226">
        <v>2012</v>
      </c>
      <c r="E226">
        <v>3</v>
      </c>
      <c r="F226">
        <v>1</v>
      </c>
      <c r="G226" t="s">
        <v>71</v>
      </c>
      <c r="H226">
        <v>32</v>
      </c>
      <c r="I226">
        <v>994</v>
      </c>
      <c r="J226">
        <v>840434.42830599996</v>
      </c>
      <c r="K226" t="s">
        <v>75</v>
      </c>
      <c r="L226" t="str">
        <f>_xlfn.XLOOKUP(tblCategorySales[[#This Row],[SalesPersonID]],tblSalespersonSummary[SalesPersonID],tblSalespersonSummary[SalespersonName],"Not found")</f>
        <v>Linda Mitchell</v>
      </c>
      <c r="M226" t="str">
        <f>IF(tblCategorySales[[#This Row],[SalespersonName]]=tblCategorySales[[#This Row],[ExpectedSalespersonName]],"Match","Mismatch")</f>
        <v>Match</v>
      </c>
    </row>
    <row r="227" spans="1:13" x14ac:dyDescent="0.3">
      <c r="A227">
        <v>276</v>
      </c>
      <c r="B227" t="s">
        <v>26</v>
      </c>
      <c r="C227" t="s">
        <v>27</v>
      </c>
      <c r="D227">
        <v>2012</v>
      </c>
      <c r="E227">
        <v>3</v>
      </c>
      <c r="F227">
        <v>3</v>
      </c>
      <c r="G227" t="s">
        <v>72</v>
      </c>
      <c r="H227">
        <v>29</v>
      </c>
      <c r="I227">
        <v>1148</v>
      </c>
      <c r="J227">
        <v>34384.037607999999</v>
      </c>
      <c r="K227" t="s">
        <v>75</v>
      </c>
      <c r="L227" t="str">
        <f>_xlfn.XLOOKUP(tblCategorySales[[#This Row],[SalesPersonID]],tblSalespersonSummary[SalesPersonID],tblSalespersonSummary[SalespersonName],"Not found")</f>
        <v>Linda Mitchell</v>
      </c>
      <c r="M227" t="str">
        <f>IF(tblCategorySales[[#This Row],[SalespersonName]]=tblCategorySales[[#This Row],[ExpectedSalespersonName]],"Match","Mismatch")</f>
        <v>Match</v>
      </c>
    </row>
    <row r="228" spans="1:13" x14ac:dyDescent="0.3">
      <c r="A228">
        <v>276</v>
      </c>
      <c r="B228" t="s">
        <v>26</v>
      </c>
      <c r="C228" t="s">
        <v>27</v>
      </c>
      <c r="D228">
        <v>2012</v>
      </c>
      <c r="E228">
        <v>3</v>
      </c>
      <c r="F228">
        <v>2</v>
      </c>
      <c r="G228" t="s">
        <v>73</v>
      </c>
      <c r="H228">
        <v>34</v>
      </c>
      <c r="I228">
        <v>865</v>
      </c>
      <c r="J228">
        <v>206699.74152400001</v>
      </c>
      <c r="K228" t="s">
        <v>75</v>
      </c>
      <c r="L228" t="str">
        <f>_xlfn.XLOOKUP(tblCategorySales[[#This Row],[SalesPersonID]],tblSalespersonSummary[SalesPersonID],tblSalespersonSummary[SalespersonName],"Not found")</f>
        <v>Linda Mitchell</v>
      </c>
      <c r="M228" t="str">
        <f>IF(tblCategorySales[[#This Row],[SalespersonName]]=tblCategorySales[[#This Row],[ExpectedSalespersonName]],"Match","Mismatch")</f>
        <v>Match</v>
      </c>
    </row>
    <row r="229" spans="1:13" x14ac:dyDescent="0.3">
      <c r="A229">
        <v>275</v>
      </c>
      <c r="B229" t="s">
        <v>28</v>
      </c>
      <c r="C229" t="s">
        <v>29</v>
      </c>
      <c r="D229">
        <v>2012</v>
      </c>
      <c r="E229">
        <v>3</v>
      </c>
      <c r="F229">
        <v>4</v>
      </c>
      <c r="G229" t="s">
        <v>70</v>
      </c>
      <c r="H229">
        <v>15</v>
      </c>
      <c r="I229">
        <v>303</v>
      </c>
      <c r="J229">
        <v>5390.8787439999996</v>
      </c>
      <c r="K229" t="s">
        <v>74</v>
      </c>
      <c r="L229" t="str">
        <f>_xlfn.XLOOKUP(tblCategorySales[[#This Row],[SalesPersonID]],tblSalespersonSummary[SalesPersonID],tblSalespersonSummary[SalespersonName],"Not found")</f>
        <v>Michael Blythe</v>
      </c>
      <c r="M229" t="str">
        <f>IF(tblCategorySales[[#This Row],[SalespersonName]]=tblCategorySales[[#This Row],[ExpectedSalespersonName]],"Match","Mismatch")</f>
        <v>Match</v>
      </c>
    </row>
    <row r="230" spans="1:13" x14ac:dyDescent="0.3">
      <c r="A230">
        <v>275</v>
      </c>
      <c r="B230" t="s">
        <v>28</v>
      </c>
      <c r="C230" t="s">
        <v>29</v>
      </c>
      <c r="D230">
        <v>2012</v>
      </c>
      <c r="E230">
        <v>3</v>
      </c>
      <c r="F230">
        <v>1</v>
      </c>
      <c r="G230" t="s">
        <v>71</v>
      </c>
      <c r="H230">
        <v>34</v>
      </c>
      <c r="I230">
        <v>1195</v>
      </c>
      <c r="J230">
        <v>910106.51570700004</v>
      </c>
      <c r="K230" t="s">
        <v>74</v>
      </c>
      <c r="L230" t="str">
        <f>_xlfn.XLOOKUP(tblCategorySales[[#This Row],[SalesPersonID]],tblSalespersonSummary[SalesPersonID],tblSalespersonSummary[SalespersonName],"Not found")</f>
        <v>Michael Blythe</v>
      </c>
      <c r="M230" t="str">
        <f>IF(tblCategorySales[[#This Row],[SalespersonName]]=tblCategorySales[[#This Row],[ExpectedSalespersonName]],"Match","Mismatch")</f>
        <v>Match</v>
      </c>
    </row>
    <row r="231" spans="1:13" x14ac:dyDescent="0.3">
      <c r="A231">
        <v>275</v>
      </c>
      <c r="B231" t="s">
        <v>28</v>
      </c>
      <c r="C231" t="s">
        <v>29</v>
      </c>
      <c r="D231">
        <v>2012</v>
      </c>
      <c r="E231">
        <v>3</v>
      </c>
      <c r="F231">
        <v>3</v>
      </c>
      <c r="G231" t="s">
        <v>72</v>
      </c>
      <c r="H231">
        <v>28</v>
      </c>
      <c r="I231">
        <v>974</v>
      </c>
      <c r="J231">
        <v>30477.852884</v>
      </c>
      <c r="K231" t="s">
        <v>74</v>
      </c>
      <c r="L231" t="str">
        <f>_xlfn.XLOOKUP(tblCategorySales[[#This Row],[SalesPersonID]],tblSalespersonSummary[SalesPersonID],tblSalespersonSummary[SalespersonName],"Not found")</f>
        <v>Michael Blythe</v>
      </c>
      <c r="M231" t="str">
        <f>IF(tblCategorySales[[#This Row],[SalespersonName]]=tblCategorySales[[#This Row],[ExpectedSalespersonName]],"Match","Mismatch")</f>
        <v>Match</v>
      </c>
    </row>
    <row r="232" spans="1:13" x14ac:dyDescent="0.3">
      <c r="A232">
        <v>275</v>
      </c>
      <c r="B232" t="s">
        <v>28</v>
      </c>
      <c r="C232" t="s">
        <v>29</v>
      </c>
      <c r="D232">
        <v>2012</v>
      </c>
      <c r="E232">
        <v>3</v>
      </c>
      <c r="F232">
        <v>2</v>
      </c>
      <c r="G232" t="s">
        <v>73</v>
      </c>
      <c r="H232">
        <v>35</v>
      </c>
      <c r="I232">
        <v>794</v>
      </c>
      <c r="J232">
        <v>196990.18115799999</v>
      </c>
      <c r="K232" t="s">
        <v>74</v>
      </c>
      <c r="L232" t="str">
        <f>_xlfn.XLOOKUP(tblCategorySales[[#This Row],[SalesPersonID]],tblSalespersonSummary[SalesPersonID],tblSalespersonSummary[SalespersonName],"Not found")</f>
        <v>Michael Blythe</v>
      </c>
      <c r="M232" t="str">
        <f>IF(tblCategorySales[[#This Row],[SalespersonName]]=tblCategorySales[[#This Row],[ExpectedSalespersonName]],"Match","Mismatch")</f>
        <v>Match</v>
      </c>
    </row>
    <row r="233" spans="1:13" x14ac:dyDescent="0.3">
      <c r="A233">
        <v>280</v>
      </c>
      <c r="B233" t="s">
        <v>30</v>
      </c>
      <c r="C233" t="s">
        <v>16</v>
      </c>
      <c r="D233">
        <v>2012</v>
      </c>
      <c r="E233">
        <v>3</v>
      </c>
      <c r="F233">
        <v>4</v>
      </c>
      <c r="G233" t="s">
        <v>70</v>
      </c>
      <c r="H233">
        <v>4</v>
      </c>
      <c r="I233">
        <v>62</v>
      </c>
      <c r="J233">
        <v>1146.506936</v>
      </c>
      <c r="K233" t="s">
        <v>74</v>
      </c>
      <c r="L233" t="str">
        <f>_xlfn.XLOOKUP(tblCategorySales[[#This Row],[SalesPersonID]],tblSalespersonSummary[SalesPersonID],tblSalespersonSummary[SalespersonName],"Not found")</f>
        <v>Pamela Ansman-Wolfe</v>
      </c>
      <c r="M233" t="str">
        <f>IF(tblCategorySales[[#This Row],[SalespersonName]]=tblCategorySales[[#This Row],[ExpectedSalespersonName]],"Match","Mismatch")</f>
        <v>Match</v>
      </c>
    </row>
    <row r="234" spans="1:13" x14ac:dyDescent="0.3">
      <c r="A234">
        <v>280</v>
      </c>
      <c r="B234" t="s">
        <v>30</v>
      </c>
      <c r="C234" t="s">
        <v>16</v>
      </c>
      <c r="D234">
        <v>2012</v>
      </c>
      <c r="E234">
        <v>3</v>
      </c>
      <c r="F234">
        <v>1</v>
      </c>
      <c r="G234" t="s">
        <v>71</v>
      </c>
      <c r="H234">
        <v>6</v>
      </c>
      <c r="I234">
        <v>152</v>
      </c>
      <c r="J234">
        <v>133842.2562</v>
      </c>
      <c r="K234" t="s">
        <v>74</v>
      </c>
      <c r="L234" t="str">
        <f>_xlfn.XLOOKUP(tblCategorySales[[#This Row],[SalesPersonID]],tblSalespersonSummary[SalesPersonID],tblSalespersonSummary[SalespersonName],"Not found")</f>
        <v>Pamela Ansman-Wolfe</v>
      </c>
      <c r="M234" t="str">
        <f>IF(tblCategorySales[[#This Row],[SalespersonName]]=tblCategorySales[[#This Row],[ExpectedSalespersonName]],"Match","Mismatch")</f>
        <v>Match</v>
      </c>
    </row>
    <row r="235" spans="1:13" x14ac:dyDescent="0.3">
      <c r="A235">
        <v>280</v>
      </c>
      <c r="B235" t="s">
        <v>30</v>
      </c>
      <c r="C235" t="s">
        <v>16</v>
      </c>
      <c r="D235">
        <v>2012</v>
      </c>
      <c r="E235">
        <v>3</v>
      </c>
      <c r="F235">
        <v>3</v>
      </c>
      <c r="G235" t="s">
        <v>72</v>
      </c>
      <c r="H235">
        <v>6</v>
      </c>
      <c r="I235">
        <v>210</v>
      </c>
      <c r="J235">
        <v>6002.4522200000001</v>
      </c>
      <c r="K235" t="s">
        <v>74</v>
      </c>
      <c r="L235" t="str">
        <f>_xlfn.XLOOKUP(tblCategorySales[[#This Row],[SalesPersonID]],tblSalespersonSummary[SalesPersonID],tblSalespersonSummary[SalespersonName],"Not found")</f>
        <v>Pamela Ansman-Wolfe</v>
      </c>
      <c r="M235" t="str">
        <f>IF(tblCategorySales[[#This Row],[SalespersonName]]=tblCategorySales[[#This Row],[ExpectedSalespersonName]],"Match","Mismatch")</f>
        <v>Match</v>
      </c>
    </row>
    <row r="236" spans="1:13" x14ac:dyDescent="0.3">
      <c r="A236">
        <v>280</v>
      </c>
      <c r="B236" t="s">
        <v>30</v>
      </c>
      <c r="C236" t="s">
        <v>16</v>
      </c>
      <c r="D236">
        <v>2012</v>
      </c>
      <c r="E236">
        <v>3</v>
      </c>
      <c r="F236">
        <v>2</v>
      </c>
      <c r="G236" t="s">
        <v>73</v>
      </c>
      <c r="H236">
        <v>9</v>
      </c>
      <c r="I236">
        <v>160</v>
      </c>
      <c r="J236">
        <v>39404.666599999997</v>
      </c>
      <c r="K236" t="s">
        <v>74</v>
      </c>
      <c r="L236" t="str">
        <f>_xlfn.XLOOKUP(tblCategorySales[[#This Row],[SalesPersonID]],tblSalespersonSummary[SalesPersonID],tblSalespersonSummary[SalespersonName],"Not found")</f>
        <v>Pamela Ansman-Wolfe</v>
      </c>
      <c r="M236" t="str">
        <f>IF(tblCategorySales[[#This Row],[SalespersonName]]=tblCategorySales[[#This Row],[ExpectedSalespersonName]],"Match","Mismatch")</f>
        <v>Match</v>
      </c>
    </row>
    <row r="237" spans="1:13" x14ac:dyDescent="0.3">
      <c r="A237">
        <v>290</v>
      </c>
      <c r="B237" t="s">
        <v>46</v>
      </c>
      <c r="C237" t="s">
        <v>47</v>
      </c>
      <c r="D237">
        <v>2012</v>
      </c>
      <c r="E237">
        <v>3</v>
      </c>
      <c r="F237">
        <v>4</v>
      </c>
      <c r="G237" t="s">
        <v>70</v>
      </c>
      <c r="H237">
        <v>6</v>
      </c>
      <c r="I237">
        <v>133</v>
      </c>
      <c r="J237">
        <v>2429.9567000000002</v>
      </c>
      <c r="K237" t="s">
        <v>74</v>
      </c>
      <c r="L237" t="str">
        <f>_xlfn.XLOOKUP(tblCategorySales[[#This Row],[SalesPersonID]],tblSalespersonSummary[SalesPersonID],tblSalespersonSummary[SalespersonName],"Not found")</f>
        <v>Ranjit Varkey Chudukatil</v>
      </c>
      <c r="M237" t="str">
        <f>IF(tblCategorySales[[#This Row],[SalespersonName]]=tblCategorySales[[#This Row],[ExpectedSalespersonName]],"Match","Mismatch")</f>
        <v>Match</v>
      </c>
    </row>
    <row r="238" spans="1:13" x14ac:dyDescent="0.3">
      <c r="A238">
        <v>290</v>
      </c>
      <c r="B238" t="s">
        <v>46</v>
      </c>
      <c r="C238" t="s">
        <v>47</v>
      </c>
      <c r="D238">
        <v>2012</v>
      </c>
      <c r="E238">
        <v>3</v>
      </c>
      <c r="F238">
        <v>1</v>
      </c>
      <c r="G238" t="s">
        <v>71</v>
      </c>
      <c r="H238">
        <v>14</v>
      </c>
      <c r="I238">
        <v>406</v>
      </c>
      <c r="J238">
        <v>310583.02095799998</v>
      </c>
      <c r="K238" t="s">
        <v>74</v>
      </c>
      <c r="L238" t="str">
        <f>_xlfn.XLOOKUP(tblCategorySales[[#This Row],[SalesPersonID]],tblSalespersonSummary[SalesPersonID],tblSalespersonSummary[SalespersonName],"Not found")</f>
        <v>Ranjit Varkey Chudukatil</v>
      </c>
      <c r="M238" t="str">
        <f>IF(tblCategorySales[[#This Row],[SalespersonName]]=tblCategorySales[[#This Row],[ExpectedSalespersonName]],"Match","Mismatch")</f>
        <v>Match</v>
      </c>
    </row>
    <row r="239" spans="1:13" x14ac:dyDescent="0.3">
      <c r="A239">
        <v>290</v>
      </c>
      <c r="B239" t="s">
        <v>46</v>
      </c>
      <c r="C239" t="s">
        <v>47</v>
      </c>
      <c r="D239">
        <v>2012</v>
      </c>
      <c r="E239">
        <v>3</v>
      </c>
      <c r="F239">
        <v>3</v>
      </c>
      <c r="G239" t="s">
        <v>72</v>
      </c>
      <c r="H239">
        <v>9</v>
      </c>
      <c r="I239">
        <v>382</v>
      </c>
      <c r="J239">
        <v>12012.177067000001</v>
      </c>
      <c r="K239" t="s">
        <v>74</v>
      </c>
      <c r="L239" t="str">
        <f>_xlfn.XLOOKUP(tblCategorySales[[#This Row],[SalesPersonID]],tblSalespersonSummary[SalesPersonID],tblSalespersonSummary[SalespersonName],"Not found")</f>
        <v>Ranjit Varkey Chudukatil</v>
      </c>
      <c r="M239" t="str">
        <f>IF(tblCategorySales[[#This Row],[SalespersonName]]=tblCategorySales[[#This Row],[ExpectedSalespersonName]],"Match","Mismatch")</f>
        <v>Match</v>
      </c>
    </row>
    <row r="240" spans="1:13" x14ac:dyDescent="0.3">
      <c r="A240">
        <v>290</v>
      </c>
      <c r="B240" t="s">
        <v>46</v>
      </c>
      <c r="C240" t="s">
        <v>47</v>
      </c>
      <c r="D240">
        <v>2012</v>
      </c>
      <c r="E240">
        <v>3</v>
      </c>
      <c r="F240">
        <v>2</v>
      </c>
      <c r="G240" t="s">
        <v>73</v>
      </c>
      <c r="H240">
        <v>13</v>
      </c>
      <c r="I240">
        <v>266</v>
      </c>
      <c r="J240">
        <v>75067.135200000004</v>
      </c>
      <c r="K240" t="s">
        <v>74</v>
      </c>
      <c r="L240" t="str">
        <f>_xlfn.XLOOKUP(tblCategorySales[[#This Row],[SalesPersonID]],tblSalespersonSummary[SalesPersonID],tblSalespersonSummary[SalespersonName],"Not found")</f>
        <v>Ranjit Varkey Chudukatil</v>
      </c>
      <c r="M240" t="str">
        <f>IF(tblCategorySales[[#This Row],[SalespersonName]]=tblCategorySales[[#This Row],[ExpectedSalespersonName]],"Match","Mismatch")</f>
        <v>Match</v>
      </c>
    </row>
    <row r="241" spans="1:13" x14ac:dyDescent="0.3">
      <c r="A241">
        <v>281</v>
      </c>
      <c r="B241" t="s">
        <v>31</v>
      </c>
      <c r="C241" t="s">
        <v>27</v>
      </c>
      <c r="D241">
        <v>2012</v>
      </c>
      <c r="E241">
        <v>3</v>
      </c>
      <c r="F241">
        <v>4</v>
      </c>
      <c r="G241" t="s">
        <v>70</v>
      </c>
      <c r="H241">
        <v>8</v>
      </c>
      <c r="I241">
        <v>130</v>
      </c>
      <c r="J241">
        <v>2392.2905919999998</v>
      </c>
      <c r="K241" t="s">
        <v>74</v>
      </c>
      <c r="L241" t="str">
        <f>_xlfn.XLOOKUP(tblCategorySales[[#This Row],[SalesPersonID]],tblSalespersonSummary[SalesPersonID],tblSalespersonSummary[SalespersonName],"Not found")</f>
        <v>Shu Ito</v>
      </c>
      <c r="M241" t="str">
        <f>IF(tblCategorySales[[#This Row],[SalespersonName]]=tblCategorySales[[#This Row],[ExpectedSalespersonName]],"Match","Mismatch")</f>
        <v>Match</v>
      </c>
    </row>
    <row r="242" spans="1:13" x14ac:dyDescent="0.3">
      <c r="A242">
        <v>281</v>
      </c>
      <c r="B242" t="s">
        <v>31</v>
      </c>
      <c r="C242" t="s">
        <v>27</v>
      </c>
      <c r="D242">
        <v>2012</v>
      </c>
      <c r="E242">
        <v>3</v>
      </c>
      <c r="F242">
        <v>1</v>
      </c>
      <c r="G242" t="s">
        <v>71</v>
      </c>
      <c r="H242">
        <v>18</v>
      </c>
      <c r="I242">
        <v>729</v>
      </c>
      <c r="J242">
        <v>581026.53089399997</v>
      </c>
      <c r="K242" t="s">
        <v>74</v>
      </c>
      <c r="L242" t="str">
        <f>_xlfn.XLOOKUP(tblCategorySales[[#This Row],[SalesPersonID]],tblSalespersonSummary[SalesPersonID],tblSalespersonSummary[SalespersonName],"Not found")</f>
        <v>Shu Ito</v>
      </c>
      <c r="M242" t="str">
        <f>IF(tblCategorySales[[#This Row],[SalespersonName]]=tblCategorySales[[#This Row],[ExpectedSalespersonName]],"Match","Mismatch")</f>
        <v>Match</v>
      </c>
    </row>
    <row r="243" spans="1:13" x14ac:dyDescent="0.3">
      <c r="A243">
        <v>281</v>
      </c>
      <c r="B243" t="s">
        <v>31</v>
      </c>
      <c r="C243" t="s">
        <v>27</v>
      </c>
      <c r="D243">
        <v>2012</v>
      </c>
      <c r="E243">
        <v>3</v>
      </c>
      <c r="F243">
        <v>3</v>
      </c>
      <c r="G243" t="s">
        <v>72</v>
      </c>
      <c r="H243">
        <v>14</v>
      </c>
      <c r="I243">
        <v>464</v>
      </c>
      <c r="J243">
        <v>13543.834273</v>
      </c>
      <c r="K243" t="s">
        <v>74</v>
      </c>
      <c r="L243" t="str">
        <f>_xlfn.XLOOKUP(tblCategorySales[[#This Row],[SalesPersonID]],tblSalespersonSummary[SalesPersonID],tblSalespersonSummary[SalespersonName],"Not found")</f>
        <v>Shu Ito</v>
      </c>
      <c r="M243" t="str">
        <f>IF(tblCategorySales[[#This Row],[SalespersonName]]=tblCategorySales[[#This Row],[ExpectedSalespersonName]],"Match","Mismatch")</f>
        <v>Match</v>
      </c>
    </row>
    <row r="244" spans="1:13" x14ac:dyDescent="0.3">
      <c r="A244">
        <v>281</v>
      </c>
      <c r="B244" t="s">
        <v>31</v>
      </c>
      <c r="C244" t="s">
        <v>27</v>
      </c>
      <c r="D244">
        <v>2012</v>
      </c>
      <c r="E244">
        <v>3</v>
      </c>
      <c r="F244">
        <v>2</v>
      </c>
      <c r="G244" t="s">
        <v>73</v>
      </c>
      <c r="H244">
        <v>18</v>
      </c>
      <c r="I244">
        <v>533</v>
      </c>
      <c r="J244">
        <v>127397.215</v>
      </c>
      <c r="K244" t="s">
        <v>74</v>
      </c>
      <c r="L244" t="str">
        <f>_xlfn.XLOOKUP(tblCategorySales[[#This Row],[SalesPersonID]],tblSalespersonSummary[SalesPersonID],tblSalespersonSummary[SalespersonName],"Not found")</f>
        <v>Shu Ito</v>
      </c>
      <c r="M244" t="str">
        <f>IF(tblCategorySales[[#This Row],[SalespersonName]]=tblCategorySales[[#This Row],[ExpectedSalespersonName]],"Match","Mismatch")</f>
        <v>Match</v>
      </c>
    </row>
    <row r="245" spans="1:13" x14ac:dyDescent="0.3">
      <c r="A245">
        <v>274</v>
      </c>
      <c r="B245" t="s">
        <v>32</v>
      </c>
      <c r="C245" t="s">
        <v>33</v>
      </c>
      <c r="D245">
        <v>2012</v>
      </c>
      <c r="E245">
        <v>3</v>
      </c>
      <c r="F245">
        <v>4</v>
      </c>
      <c r="G245" t="s">
        <v>70</v>
      </c>
      <c r="H245">
        <v>1</v>
      </c>
      <c r="I245">
        <v>2</v>
      </c>
      <c r="J245">
        <v>40.372999999999998</v>
      </c>
      <c r="K245" t="s">
        <v>74</v>
      </c>
      <c r="L245" t="str">
        <f>_xlfn.XLOOKUP(tblCategorySales[[#This Row],[SalesPersonID]],tblSalespersonSummary[SalesPersonID],tblSalespersonSummary[SalespersonName],"Not found")</f>
        <v>Stephen Jiang</v>
      </c>
      <c r="M245" t="str">
        <f>IF(tblCategorySales[[#This Row],[SalespersonName]]=tblCategorySales[[#This Row],[ExpectedSalespersonName]],"Match","Mismatch")</f>
        <v>Match</v>
      </c>
    </row>
    <row r="246" spans="1:13" x14ac:dyDescent="0.3">
      <c r="A246">
        <v>274</v>
      </c>
      <c r="B246" t="s">
        <v>32</v>
      </c>
      <c r="C246" t="s">
        <v>33</v>
      </c>
      <c r="D246">
        <v>2012</v>
      </c>
      <c r="E246">
        <v>3</v>
      </c>
      <c r="F246">
        <v>1</v>
      </c>
      <c r="G246" t="s">
        <v>71</v>
      </c>
      <c r="H246">
        <v>4</v>
      </c>
      <c r="I246">
        <v>53</v>
      </c>
      <c r="J246">
        <v>48281.354399999997</v>
      </c>
      <c r="K246" t="s">
        <v>74</v>
      </c>
      <c r="L246" t="str">
        <f>_xlfn.XLOOKUP(tblCategorySales[[#This Row],[SalesPersonID]],tblSalespersonSummary[SalesPersonID],tblSalespersonSummary[SalespersonName],"Not found")</f>
        <v>Stephen Jiang</v>
      </c>
      <c r="M246" t="str">
        <f>IF(tblCategorySales[[#This Row],[SalespersonName]]=tblCategorySales[[#This Row],[ExpectedSalespersonName]],"Match","Mismatch")</f>
        <v>Match</v>
      </c>
    </row>
    <row r="247" spans="1:13" x14ac:dyDescent="0.3">
      <c r="A247">
        <v>274</v>
      </c>
      <c r="B247" t="s">
        <v>32</v>
      </c>
      <c r="C247" t="s">
        <v>33</v>
      </c>
      <c r="D247">
        <v>2012</v>
      </c>
      <c r="E247">
        <v>3</v>
      </c>
      <c r="F247">
        <v>3</v>
      </c>
      <c r="G247" t="s">
        <v>72</v>
      </c>
      <c r="H247">
        <v>5</v>
      </c>
      <c r="I247">
        <v>38</v>
      </c>
      <c r="J247">
        <v>897.37199999999996</v>
      </c>
      <c r="K247" t="s">
        <v>74</v>
      </c>
      <c r="L247" t="str">
        <f>_xlfn.XLOOKUP(tblCategorySales[[#This Row],[SalesPersonID]],tblSalespersonSummary[SalesPersonID],tblSalespersonSummary[SalespersonName],"Not found")</f>
        <v>Stephen Jiang</v>
      </c>
      <c r="M247" t="str">
        <f>IF(tblCategorySales[[#This Row],[SalespersonName]]=tblCategorySales[[#This Row],[ExpectedSalespersonName]],"Match","Mismatch")</f>
        <v>Match</v>
      </c>
    </row>
    <row r="248" spans="1:13" x14ac:dyDescent="0.3">
      <c r="A248">
        <v>274</v>
      </c>
      <c r="B248" t="s">
        <v>32</v>
      </c>
      <c r="C248" t="s">
        <v>33</v>
      </c>
      <c r="D248">
        <v>2012</v>
      </c>
      <c r="E248">
        <v>3</v>
      </c>
      <c r="F248">
        <v>2</v>
      </c>
      <c r="G248" t="s">
        <v>73</v>
      </c>
      <c r="H248">
        <v>3</v>
      </c>
      <c r="I248">
        <v>51</v>
      </c>
      <c r="J248">
        <v>10225.290000000001</v>
      </c>
      <c r="K248" t="s">
        <v>74</v>
      </c>
      <c r="L248" t="str">
        <f>_xlfn.XLOOKUP(tblCategorySales[[#This Row],[SalesPersonID]],tblSalespersonSummary[SalesPersonID],tblSalespersonSummary[SalespersonName],"Not found")</f>
        <v>Stephen Jiang</v>
      </c>
      <c r="M248" t="str">
        <f>IF(tblCategorySales[[#This Row],[SalespersonName]]=tblCategorySales[[#This Row],[ExpectedSalespersonName]],"Match","Mismatch")</f>
        <v>Match</v>
      </c>
    </row>
    <row r="249" spans="1:13" x14ac:dyDescent="0.3">
      <c r="A249">
        <v>284</v>
      </c>
      <c r="B249" t="s">
        <v>50</v>
      </c>
      <c r="C249" t="s">
        <v>16</v>
      </c>
      <c r="D249">
        <v>2012</v>
      </c>
      <c r="E249">
        <v>3</v>
      </c>
      <c r="F249">
        <v>4</v>
      </c>
      <c r="G249" t="s">
        <v>70</v>
      </c>
      <c r="H249">
        <v>3</v>
      </c>
      <c r="I249">
        <v>72</v>
      </c>
      <c r="J249">
        <v>1357.5944999999999</v>
      </c>
      <c r="K249" t="s">
        <v>74</v>
      </c>
      <c r="L249" t="str">
        <f>_xlfn.XLOOKUP(tblCategorySales[[#This Row],[SalesPersonID]],tblSalespersonSummary[SalesPersonID],tblSalespersonSummary[SalespersonName],"Not found")</f>
        <v>Tete Mensa-Annan</v>
      </c>
      <c r="M249" t="str">
        <f>IF(tblCategorySales[[#This Row],[SalespersonName]]=tblCategorySales[[#This Row],[ExpectedSalespersonName]],"Match","Mismatch")</f>
        <v>Match</v>
      </c>
    </row>
    <row r="250" spans="1:13" x14ac:dyDescent="0.3">
      <c r="A250">
        <v>284</v>
      </c>
      <c r="B250" t="s">
        <v>50</v>
      </c>
      <c r="C250" t="s">
        <v>16</v>
      </c>
      <c r="D250">
        <v>2012</v>
      </c>
      <c r="E250">
        <v>3</v>
      </c>
      <c r="F250">
        <v>1</v>
      </c>
      <c r="G250" t="s">
        <v>71</v>
      </c>
      <c r="H250">
        <v>5</v>
      </c>
      <c r="I250">
        <v>216</v>
      </c>
      <c r="J250">
        <v>181728.6594</v>
      </c>
      <c r="K250" t="s">
        <v>74</v>
      </c>
      <c r="L250" t="str">
        <f>_xlfn.XLOOKUP(tblCategorySales[[#This Row],[SalesPersonID]],tblSalespersonSummary[SalesPersonID],tblSalespersonSummary[SalespersonName],"Not found")</f>
        <v>Tete Mensa-Annan</v>
      </c>
      <c r="M250" t="str">
        <f>IF(tblCategorySales[[#This Row],[SalespersonName]]=tblCategorySales[[#This Row],[ExpectedSalespersonName]],"Match","Mismatch")</f>
        <v>Match</v>
      </c>
    </row>
    <row r="251" spans="1:13" x14ac:dyDescent="0.3">
      <c r="A251">
        <v>284</v>
      </c>
      <c r="B251" t="s">
        <v>50</v>
      </c>
      <c r="C251" t="s">
        <v>16</v>
      </c>
      <c r="D251">
        <v>2012</v>
      </c>
      <c r="E251">
        <v>3</v>
      </c>
      <c r="F251">
        <v>3</v>
      </c>
      <c r="G251" t="s">
        <v>72</v>
      </c>
      <c r="H251">
        <v>4</v>
      </c>
      <c r="I251">
        <v>197</v>
      </c>
      <c r="J251">
        <v>6454.8400760000004</v>
      </c>
      <c r="K251" t="s">
        <v>74</v>
      </c>
      <c r="L251" t="str">
        <f>_xlfn.XLOOKUP(tblCategorySales[[#This Row],[SalesPersonID]],tblSalespersonSummary[SalesPersonID],tblSalespersonSummary[SalespersonName],"Not found")</f>
        <v>Tete Mensa-Annan</v>
      </c>
      <c r="M251" t="str">
        <f>IF(tblCategorySales[[#This Row],[SalespersonName]]=tblCategorySales[[#This Row],[ExpectedSalespersonName]],"Match","Mismatch")</f>
        <v>Match</v>
      </c>
    </row>
    <row r="252" spans="1:13" x14ac:dyDescent="0.3">
      <c r="A252">
        <v>284</v>
      </c>
      <c r="B252" t="s">
        <v>50</v>
      </c>
      <c r="C252" t="s">
        <v>16</v>
      </c>
      <c r="D252">
        <v>2012</v>
      </c>
      <c r="E252">
        <v>3</v>
      </c>
      <c r="F252">
        <v>2</v>
      </c>
      <c r="G252" t="s">
        <v>73</v>
      </c>
      <c r="H252">
        <v>7</v>
      </c>
      <c r="I252">
        <v>147</v>
      </c>
      <c r="J252">
        <v>32247.2847</v>
      </c>
      <c r="K252" t="s">
        <v>74</v>
      </c>
      <c r="L252" t="str">
        <f>_xlfn.XLOOKUP(tblCategorySales[[#This Row],[SalesPersonID]],tblSalespersonSummary[SalesPersonID],tblSalespersonSummary[SalespersonName],"Not found")</f>
        <v>Tete Mensa-Annan</v>
      </c>
      <c r="M252" t="str">
        <f>IF(tblCategorySales[[#This Row],[SalespersonName]]=tblCategorySales[[#This Row],[ExpectedSalespersonName]],"Match","Mismatch")</f>
        <v>Match</v>
      </c>
    </row>
    <row r="253" spans="1:13" x14ac:dyDescent="0.3">
      <c r="A253">
        <v>279</v>
      </c>
      <c r="B253" t="s">
        <v>34</v>
      </c>
      <c r="C253" t="s">
        <v>35</v>
      </c>
      <c r="D253">
        <v>2012</v>
      </c>
      <c r="E253">
        <v>3</v>
      </c>
      <c r="F253">
        <v>4</v>
      </c>
      <c r="G253" t="s">
        <v>70</v>
      </c>
      <c r="H253">
        <v>7</v>
      </c>
      <c r="I253">
        <v>112</v>
      </c>
      <c r="J253">
        <v>2083.9549999999999</v>
      </c>
      <c r="K253" t="s">
        <v>74</v>
      </c>
      <c r="L253" t="str">
        <f>_xlfn.XLOOKUP(tblCategorySales[[#This Row],[SalesPersonID]],tblSalespersonSummary[SalesPersonID],tblSalespersonSummary[SalespersonName],"Not found")</f>
        <v>Tsvi Reiter</v>
      </c>
      <c r="M253" t="str">
        <f>IF(tblCategorySales[[#This Row],[SalespersonName]]=tblCategorySales[[#This Row],[ExpectedSalespersonName]],"Match","Mismatch")</f>
        <v>Match</v>
      </c>
    </row>
    <row r="254" spans="1:13" x14ac:dyDescent="0.3">
      <c r="A254">
        <v>279</v>
      </c>
      <c r="B254" t="s">
        <v>34</v>
      </c>
      <c r="C254" t="s">
        <v>35</v>
      </c>
      <c r="D254">
        <v>2012</v>
      </c>
      <c r="E254">
        <v>3</v>
      </c>
      <c r="F254">
        <v>1</v>
      </c>
      <c r="G254" t="s">
        <v>71</v>
      </c>
      <c r="H254">
        <v>28</v>
      </c>
      <c r="I254">
        <v>534</v>
      </c>
      <c r="J254">
        <v>459021.76459999999</v>
      </c>
      <c r="K254" t="s">
        <v>74</v>
      </c>
      <c r="L254" t="str">
        <f>_xlfn.XLOOKUP(tblCategorySales[[#This Row],[SalesPersonID]],tblSalespersonSummary[SalesPersonID],tblSalespersonSummary[SalespersonName],"Not found")</f>
        <v>Tsvi Reiter</v>
      </c>
      <c r="M254" t="str">
        <f>IF(tblCategorySales[[#This Row],[SalespersonName]]=tblCategorySales[[#This Row],[ExpectedSalespersonName]],"Match","Mismatch")</f>
        <v>Match</v>
      </c>
    </row>
    <row r="255" spans="1:13" x14ac:dyDescent="0.3">
      <c r="A255">
        <v>279</v>
      </c>
      <c r="B255" t="s">
        <v>34</v>
      </c>
      <c r="C255" t="s">
        <v>35</v>
      </c>
      <c r="D255">
        <v>2012</v>
      </c>
      <c r="E255">
        <v>3</v>
      </c>
      <c r="F255">
        <v>3</v>
      </c>
      <c r="G255" t="s">
        <v>72</v>
      </c>
      <c r="H255">
        <v>21</v>
      </c>
      <c r="I255">
        <v>571</v>
      </c>
      <c r="J255">
        <v>16273.576838999999</v>
      </c>
      <c r="K255" t="s">
        <v>74</v>
      </c>
      <c r="L255" t="str">
        <f>_xlfn.XLOOKUP(tblCategorySales[[#This Row],[SalesPersonID]],tblSalespersonSummary[SalesPersonID],tblSalespersonSummary[SalespersonName],"Not found")</f>
        <v>Tsvi Reiter</v>
      </c>
      <c r="M255" t="str">
        <f>IF(tblCategorySales[[#This Row],[SalespersonName]]=tblCategorySales[[#This Row],[ExpectedSalespersonName]],"Match","Mismatch")</f>
        <v>Match</v>
      </c>
    </row>
    <row r="256" spans="1:13" x14ac:dyDescent="0.3">
      <c r="A256">
        <v>279</v>
      </c>
      <c r="B256" t="s">
        <v>34</v>
      </c>
      <c r="C256" t="s">
        <v>35</v>
      </c>
      <c r="D256">
        <v>2012</v>
      </c>
      <c r="E256">
        <v>3</v>
      </c>
      <c r="F256">
        <v>2</v>
      </c>
      <c r="G256" t="s">
        <v>73</v>
      </c>
      <c r="H256">
        <v>25</v>
      </c>
      <c r="I256">
        <v>387</v>
      </c>
      <c r="J256">
        <v>90624.654999999999</v>
      </c>
      <c r="K256" t="s">
        <v>74</v>
      </c>
      <c r="L256" t="str">
        <f>_xlfn.XLOOKUP(tblCategorySales[[#This Row],[SalesPersonID]],tblSalespersonSummary[SalesPersonID],tblSalespersonSummary[SalespersonName],"Not found")</f>
        <v>Tsvi Reiter</v>
      </c>
      <c r="M256" t="str">
        <f>IF(tblCategorySales[[#This Row],[SalespersonName]]=tblCategorySales[[#This Row],[ExpectedSalespersonName]],"Match","Mismatch")</f>
        <v>Match</v>
      </c>
    </row>
    <row r="257" spans="1:13" x14ac:dyDescent="0.3">
      <c r="A257">
        <v>287</v>
      </c>
      <c r="B257" t="s">
        <v>42</v>
      </c>
      <c r="C257" t="s">
        <v>33</v>
      </c>
      <c r="D257">
        <v>2012</v>
      </c>
      <c r="E257">
        <v>4</v>
      </c>
      <c r="F257">
        <v>1</v>
      </c>
      <c r="G257" t="s">
        <v>71</v>
      </c>
      <c r="H257">
        <v>2</v>
      </c>
      <c r="I257">
        <v>25</v>
      </c>
      <c r="J257">
        <v>23839.251100000001</v>
      </c>
      <c r="K257" t="s">
        <v>74</v>
      </c>
      <c r="L257" t="str">
        <f>_xlfn.XLOOKUP(tblCategorySales[[#This Row],[SalesPersonID]],tblSalespersonSummary[SalesPersonID],tblSalespersonSummary[SalespersonName],"Not found")</f>
        <v>Amy Alberts</v>
      </c>
      <c r="M257" t="str">
        <f>IF(tblCategorySales[[#This Row],[SalespersonName]]=tblCategorySales[[#This Row],[ExpectedSalespersonName]],"Match","Mismatch")</f>
        <v>Match</v>
      </c>
    </row>
    <row r="258" spans="1:13" x14ac:dyDescent="0.3">
      <c r="A258">
        <v>287</v>
      </c>
      <c r="B258" t="s">
        <v>42</v>
      </c>
      <c r="C258" t="s">
        <v>33</v>
      </c>
      <c r="D258">
        <v>2012</v>
      </c>
      <c r="E258">
        <v>4</v>
      </c>
      <c r="F258">
        <v>3</v>
      </c>
      <c r="G258" t="s">
        <v>72</v>
      </c>
      <c r="H258">
        <v>2</v>
      </c>
      <c r="I258">
        <v>18</v>
      </c>
      <c r="J258">
        <v>583.97040000000004</v>
      </c>
      <c r="K258" t="s">
        <v>74</v>
      </c>
      <c r="L258" t="str">
        <f>_xlfn.XLOOKUP(tblCategorySales[[#This Row],[SalesPersonID]],tblSalespersonSummary[SalesPersonID],tblSalespersonSummary[SalespersonName],"Not found")</f>
        <v>Amy Alberts</v>
      </c>
      <c r="M258" t="str">
        <f>IF(tblCategorySales[[#This Row],[SalespersonName]]=tblCategorySales[[#This Row],[ExpectedSalespersonName]],"Match","Mismatch")</f>
        <v>Match</v>
      </c>
    </row>
    <row r="259" spans="1:13" x14ac:dyDescent="0.3">
      <c r="A259">
        <v>287</v>
      </c>
      <c r="B259" t="s">
        <v>42</v>
      </c>
      <c r="C259" t="s">
        <v>33</v>
      </c>
      <c r="D259">
        <v>2012</v>
      </c>
      <c r="E259">
        <v>4</v>
      </c>
      <c r="F259">
        <v>2</v>
      </c>
      <c r="G259" t="s">
        <v>73</v>
      </c>
      <c r="H259">
        <v>1</v>
      </c>
      <c r="I259">
        <v>13</v>
      </c>
      <c r="J259">
        <v>5225.8293999999996</v>
      </c>
      <c r="K259" t="s">
        <v>74</v>
      </c>
      <c r="L259" t="str">
        <f>_xlfn.XLOOKUP(tblCategorySales[[#This Row],[SalesPersonID]],tblSalespersonSummary[SalesPersonID],tblSalespersonSummary[SalespersonName],"Not found")</f>
        <v>Amy Alberts</v>
      </c>
      <c r="M259" t="str">
        <f>IF(tblCategorySales[[#This Row],[SalespersonName]]=tblCategorySales[[#This Row],[ExpectedSalespersonName]],"Match","Mismatch")</f>
        <v>Match</v>
      </c>
    </row>
    <row r="260" spans="1:13" x14ac:dyDescent="0.3">
      <c r="A260">
        <v>283</v>
      </c>
      <c r="B260" t="s">
        <v>15</v>
      </c>
      <c r="C260" t="s">
        <v>16</v>
      </c>
      <c r="D260">
        <v>2012</v>
      </c>
      <c r="E260">
        <v>4</v>
      </c>
      <c r="F260">
        <v>4</v>
      </c>
      <c r="G260" t="s">
        <v>70</v>
      </c>
      <c r="H260">
        <v>1</v>
      </c>
      <c r="I260">
        <v>20</v>
      </c>
      <c r="J260">
        <v>369.60500000000002</v>
      </c>
      <c r="K260" t="s">
        <v>75</v>
      </c>
      <c r="L260" t="str">
        <f>_xlfn.XLOOKUP(tblCategorySales[[#This Row],[SalesPersonID]],tblSalespersonSummary[SalesPersonID],tblSalespersonSummary[SalespersonName],"Not found")</f>
        <v>David Campbell</v>
      </c>
      <c r="M260" t="str">
        <f>IF(tblCategorySales[[#This Row],[SalespersonName]]=tblCategorySales[[#This Row],[ExpectedSalespersonName]],"Match","Mismatch")</f>
        <v>Match</v>
      </c>
    </row>
    <row r="261" spans="1:13" x14ac:dyDescent="0.3">
      <c r="A261">
        <v>283</v>
      </c>
      <c r="B261" t="s">
        <v>15</v>
      </c>
      <c r="C261" t="s">
        <v>16</v>
      </c>
      <c r="D261">
        <v>2012</v>
      </c>
      <c r="E261">
        <v>4</v>
      </c>
      <c r="F261">
        <v>1</v>
      </c>
      <c r="G261" t="s">
        <v>71</v>
      </c>
      <c r="H261">
        <v>11</v>
      </c>
      <c r="I261">
        <v>214</v>
      </c>
      <c r="J261">
        <v>192561.2904</v>
      </c>
      <c r="K261" t="s">
        <v>75</v>
      </c>
      <c r="L261" t="str">
        <f>_xlfn.XLOOKUP(tblCategorySales[[#This Row],[SalesPersonID]],tblSalespersonSummary[SalesPersonID],tblSalespersonSummary[SalespersonName],"Not found")</f>
        <v>David Campbell</v>
      </c>
      <c r="M261" t="str">
        <f>IF(tblCategorySales[[#This Row],[SalespersonName]]=tblCategorySales[[#This Row],[ExpectedSalespersonName]],"Match","Mismatch")</f>
        <v>Match</v>
      </c>
    </row>
    <row r="262" spans="1:13" x14ac:dyDescent="0.3">
      <c r="A262">
        <v>283</v>
      </c>
      <c r="B262" t="s">
        <v>15</v>
      </c>
      <c r="C262" t="s">
        <v>16</v>
      </c>
      <c r="D262">
        <v>2012</v>
      </c>
      <c r="E262">
        <v>4</v>
      </c>
      <c r="F262">
        <v>3</v>
      </c>
      <c r="G262" t="s">
        <v>72</v>
      </c>
      <c r="H262">
        <v>8</v>
      </c>
      <c r="I262">
        <v>141</v>
      </c>
      <c r="J262">
        <v>3997.1255169999999</v>
      </c>
      <c r="K262" t="s">
        <v>75</v>
      </c>
      <c r="L262" t="str">
        <f>_xlfn.XLOOKUP(tblCategorySales[[#This Row],[SalesPersonID]],tblSalespersonSummary[SalesPersonID],tblSalespersonSummary[SalespersonName],"Not found")</f>
        <v>David Campbell</v>
      </c>
      <c r="M262" t="str">
        <f>IF(tblCategorySales[[#This Row],[SalespersonName]]=tblCategorySales[[#This Row],[ExpectedSalespersonName]],"Match","Mismatch")</f>
        <v>Match</v>
      </c>
    </row>
    <row r="263" spans="1:13" x14ac:dyDescent="0.3">
      <c r="A263">
        <v>283</v>
      </c>
      <c r="B263" t="s">
        <v>15</v>
      </c>
      <c r="C263" t="s">
        <v>16</v>
      </c>
      <c r="D263">
        <v>2012</v>
      </c>
      <c r="E263">
        <v>4</v>
      </c>
      <c r="F263">
        <v>2</v>
      </c>
      <c r="G263" t="s">
        <v>73</v>
      </c>
      <c r="H263">
        <v>10</v>
      </c>
      <c r="I263">
        <v>84</v>
      </c>
      <c r="J263">
        <v>18543.179499999998</v>
      </c>
      <c r="K263" t="s">
        <v>75</v>
      </c>
      <c r="L263" t="str">
        <f>_xlfn.XLOOKUP(tblCategorySales[[#This Row],[SalesPersonID]],tblSalespersonSummary[SalesPersonID],tblSalespersonSummary[SalespersonName],"Not found")</f>
        <v>David Campbell</v>
      </c>
      <c r="M263" t="str">
        <f>IF(tblCategorySales[[#This Row],[SalespersonName]]=tblCategorySales[[#This Row],[ExpectedSalespersonName]],"Match","Mismatch")</f>
        <v>Match</v>
      </c>
    </row>
    <row r="264" spans="1:13" x14ac:dyDescent="0.3">
      <c r="A264">
        <v>278</v>
      </c>
      <c r="B264" t="s">
        <v>21</v>
      </c>
      <c r="C264" t="s">
        <v>22</v>
      </c>
      <c r="D264">
        <v>2012</v>
      </c>
      <c r="E264">
        <v>4</v>
      </c>
      <c r="F264">
        <v>4</v>
      </c>
      <c r="G264" t="s">
        <v>70</v>
      </c>
      <c r="H264">
        <v>7</v>
      </c>
      <c r="I264">
        <v>84</v>
      </c>
      <c r="J264">
        <v>1560.521</v>
      </c>
      <c r="K264" t="s">
        <v>74</v>
      </c>
      <c r="L264" t="str">
        <f>_xlfn.XLOOKUP(tblCategorySales[[#This Row],[SalesPersonID]],tblSalespersonSummary[SalesPersonID],tblSalespersonSummary[SalespersonName],"Not found")</f>
        <v>Garrett Vargas</v>
      </c>
      <c r="M264" t="str">
        <f>IF(tblCategorySales[[#This Row],[SalespersonName]]=tblCategorySales[[#This Row],[ExpectedSalespersonName]],"Match","Mismatch")</f>
        <v>Match</v>
      </c>
    </row>
    <row r="265" spans="1:13" x14ac:dyDescent="0.3">
      <c r="A265">
        <v>278</v>
      </c>
      <c r="B265" t="s">
        <v>21</v>
      </c>
      <c r="C265" t="s">
        <v>22</v>
      </c>
      <c r="D265">
        <v>2012</v>
      </c>
      <c r="E265">
        <v>4</v>
      </c>
      <c r="F265">
        <v>1</v>
      </c>
      <c r="G265" t="s">
        <v>71</v>
      </c>
      <c r="H265">
        <v>16</v>
      </c>
      <c r="I265">
        <v>245</v>
      </c>
      <c r="J265">
        <v>171175.89324800001</v>
      </c>
      <c r="K265" t="s">
        <v>74</v>
      </c>
      <c r="L265" t="str">
        <f>_xlfn.XLOOKUP(tblCategorySales[[#This Row],[SalesPersonID]],tblSalespersonSummary[SalesPersonID],tblSalespersonSummary[SalespersonName],"Not found")</f>
        <v>Garrett Vargas</v>
      </c>
      <c r="M265" t="str">
        <f>IF(tblCategorySales[[#This Row],[SalespersonName]]=tblCategorySales[[#This Row],[ExpectedSalespersonName]],"Match","Mismatch")</f>
        <v>Match</v>
      </c>
    </row>
    <row r="266" spans="1:13" x14ac:dyDescent="0.3">
      <c r="A266">
        <v>278</v>
      </c>
      <c r="B266" t="s">
        <v>21</v>
      </c>
      <c r="C266" t="s">
        <v>22</v>
      </c>
      <c r="D266">
        <v>2012</v>
      </c>
      <c r="E266">
        <v>4</v>
      </c>
      <c r="F266">
        <v>3</v>
      </c>
      <c r="G266" t="s">
        <v>72</v>
      </c>
      <c r="H266">
        <v>12</v>
      </c>
      <c r="I266">
        <v>306</v>
      </c>
      <c r="J266">
        <v>8763.1038499999995</v>
      </c>
      <c r="K266" t="s">
        <v>74</v>
      </c>
      <c r="L266" t="str">
        <f>_xlfn.XLOOKUP(tblCategorySales[[#This Row],[SalesPersonID]],tblSalespersonSummary[SalesPersonID],tblSalespersonSummary[SalespersonName],"Not found")</f>
        <v>Garrett Vargas</v>
      </c>
      <c r="M266" t="str">
        <f>IF(tblCategorySales[[#This Row],[SalespersonName]]=tblCategorySales[[#This Row],[ExpectedSalespersonName]],"Match","Mismatch")</f>
        <v>Match</v>
      </c>
    </row>
    <row r="267" spans="1:13" x14ac:dyDescent="0.3">
      <c r="A267">
        <v>278</v>
      </c>
      <c r="B267" t="s">
        <v>21</v>
      </c>
      <c r="C267" t="s">
        <v>22</v>
      </c>
      <c r="D267">
        <v>2012</v>
      </c>
      <c r="E267">
        <v>4</v>
      </c>
      <c r="F267">
        <v>2</v>
      </c>
      <c r="G267" t="s">
        <v>73</v>
      </c>
      <c r="H267">
        <v>12</v>
      </c>
      <c r="I267">
        <v>92</v>
      </c>
      <c r="J267">
        <v>22147.365600000001</v>
      </c>
      <c r="K267" t="s">
        <v>74</v>
      </c>
      <c r="L267" t="str">
        <f>_xlfn.XLOOKUP(tblCategorySales[[#This Row],[SalesPersonID]],tblSalespersonSummary[SalesPersonID],tblSalespersonSummary[SalespersonName],"Not found")</f>
        <v>Garrett Vargas</v>
      </c>
      <c r="M267" t="str">
        <f>IF(tblCategorySales[[#This Row],[SalespersonName]]=tblCategorySales[[#This Row],[ExpectedSalespersonName]],"Match","Mismatch")</f>
        <v>Match</v>
      </c>
    </row>
    <row r="268" spans="1:13" x14ac:dyDescent="0.3">
      <c r="A268">
        <v>289</v>
      </c>
      <c r="B268" t="s">
        <v>44</v>
      </c>
      <c r="C268" t="s">
        <v>45</v>
      </c>
      <c r="D268">
        <v>2012</v>
      </c>
      <c r="E268">
        <v>4</v>
      </c>
      <c r="F268">
        <v>4</v>
      </c>
      <c r="G268" t="s">
        <v>70</v>
      </c>
      <c r="H268">
        <v>16</v>
      </c>
      <c r="I268">
        <v>232</v>
      </c>
      <c r="J268">
        <v>4083.8098719999998</v>
      </c>
      <c r="K268" t="s">
        <v>74</v>
      </c>
      <c r="L268" t="str">
        <f>_xlfn.XLOOKUP(tblCategorySales[[#This Row],[SalesPersonID]],tblSalespersonSummary[SalesPersonID],tblSalespersonSummary[SalespersonName],"Not found")</f>
        <v>Jae Pak</v>
      </c>
      <c r="M268" t="str">
        <f>IF(tblCategorySales[[#This Row],[SalespersonName]]=tblCategorySales[[#This Row],[ExpectedSalespersonName]],"Match","Mismatch")</f>
        <v>Match</v>
      </c>
    </row>
    <row r="269" spans="1:13" x14ac:dyDescent="0.3">
      <c r="A269">
        <v>289</v>
      </c>
      <c r="B269" t="s">
        <v>44</v>
      </c>
      <c r="C269" t="s">
        <v>45</v>
      </c>
      <c r="D269">
        <v>2012</v>
      </c>
      <c r="E269">
        <v>4</v>
      </c>
      <c r="F269">
        <v>1</v>
      </c>
      <c r="G269" t="s">
        <v>71</v>
      </c>
      <c r="H269">
        <v>32</v>
      </c>
      <c r="I269">
        <v>890</v>
      </c>
      <c r="J269">
        <v>751212.44472499995</v>
      </c>
      <c r="K269" t="s">
        <v>74</v>
      </c>
      <c r="L269" t="str">
        <f>_xlfn.XLOOKUP(tblCategorySales[[#This Row],[SalesPersonID]],tblSalespersonSummary[SalesPersonID],tblSalespersonSummary[SalespersonName],"Not found")</f>
        <v>Jae Pak</v>
      </c>
      <c r="M269" t="str">
        <f>IF(tblCategorySales[[#This Row],[SalespersonName]]=tblCategorySales[[#This Row],[ExpectedSalespersonName]],"Match","Mismatch")</f>
        <v>Match</v>
      </c>
    </row>
    <row r="270" spans="1:13" x14ac:dyDescent="0.3">
      <c r="A270">
        <v>289</v>
      </c>
      <c r="B270" t="s">
        <v>44</v>
      </c>
      <c r="C270" t="s">
        <v>45</v>
      </c>
      <c r="D270">
        <v>2012</v>
      </c>
      <c r="E270">
        <v>4</v>
      </c>
      <c r="F270">
        <v>3</v>
      </c>
      <c r="G270" t="s">
        <v>72</v>
      </c>
      <c r="H270">
        <v>32</v>
      </c>
      <c r="I270">
        <v>760</v>
      </c>
      <c r="J270">
        <v>23158.348556000001</v>
      </c>
      <c r="K270" t="s">
        <v>74</v>
      </c>
      <c r="L270" t="str">
        <f>_xlfn.XLOOKUP(tblCategorySales[[#This Row],[SalesPersonID]],tblSalespersonSummary[SalesPersonID],tblSalespersonSummary[SalespersonName],"Not found")</f>
        <v>Jae Pak</v>
      </c>
      <c r="M270" t="str">
        <f>IF(tblCategorySales[[#This Row],[SalespersonName]]=tblCategorySales[[#This Row],[ExpectedSalespersonName]],"Match","Mismatch")</f>
        <v>Match</v>
      </c>
    </row>
    <row r="271" spans="1:13" x14ac:dyDescent="0.3">
      <c r="A271">
        <v>289</v>
      </c>
      <c r="B271" t="s">
        <v>44</v>
      </c>
      <c r="C271" t="s">
        <v>45</v>
      </c>
      <c r="D271">
        <v>2012</v>
      </c>
      <c r="E271">
        <v>4</v>
      </c>
      <c r="F271">
        <v>2</v>
      </c>
      <c r="G271" t="s">
        <v>73</v>
      </c>
      <c r="H271">
        <v>28</v>
      </c>
      <c r="I271">
        <v>532</v>
      </c>
      <c r="J271">
        <v>121515.051596</v>
      </c>
      <c r="K271" t="s">
        <v>74</v>
      </c>
      <c r="L271" t="str">
        <f>_xlfn.XLOOKUP(tblCategorySales[[#This Row],[SalesPersonID]],tblSalespersonSummary[SalesPersonID],tblSalespersonSummary[SalespersonName],"Not found")</f>
        <v>Jae Pak</v>
      </c>
      <c r="M271" t="str">
        <f>IF(tblCategorySales[[#This Row],[SalespersonName]]=tblCategorySales[[#This Row],[ExpectedSalespersonName]],"Match","Mismatch")</f>
        <v>Match</v>
      </c>
    </row>
    <row r="272" spans="1:13" x14ac:dyDescent="0.3">
      <c r="A272">
        <v>277</v>
      </c>
      <c r="B272" t="s">
        <v>23</v>
      </c>
      <c r="C272" t="s">
        <v>24</v>
      </c>
      <c r="D272">
        <v>2012</v>
      </c>
      <c r="E272">
        <v>4</v>
      </c>
      <c r="F272">
        <v>4</v>
      </c>
      <c r="G272" t="s">
        <v>70</v>
      </c>
      <c r="H272">
        <v>15</v>
      </c>
      <c r="I272">
        <v>193</v>
      </c>
      <c r="J272">
        <v>3426.904</v>
      </c>
      <c r="K272" t="s">
        <v>75</v>
      </c>
      <c r="L272" t="str">
        <f>_xlfn.XLOOKUP(tblCategorySales[[#This Row],[SalesPersonID]],tblSalespersonSummary[SalesPersonID],tblSalespersonSummary[SalespersonName],"Not found")</f>
        <v>Jillian Carson</v>
      </c>
      <c r="M272" t="str">
        <f>IF(tblCategorySales[[#This Row],[SalespersonName]]=tblCategorySales[[#This Row],[ExpectedSalespersonName]],"Match","Mismatch")</f>
        <v>Match</v>
      </c>
    </row>
    <row r="273" spans="1:13" x14ac:dyDescent="0.3">
      <c r="A273">
        <v>277</v>
      </c>
      <c r="B273" t="s">
        <v>23</v>
      </c>
      <c r="C273" t="s">
        <v>24</v>
      </c>
      <c r="D273">
        <v>2012</v>
      </c>
      <c r="E273">
        <v>4</v>
      </c>
      <c r="F273">
        <v>1</v>
      </c>
      <c r="G273" t="s">
        <v>71</v>
      </c>
      <c r="H273">
        <v>42</v>
      </c>
      <c r="I273">
        <v>989</v>
      </c>
      <c r="J273">
        <v>792876.93559200002</v>
      </c>
      <c r="K273" t="s">
        <v>75</v>
      </c>
      <c r="L273" t="str">
        <f>_xlfn.XLOOKUP(tblCategorySales[[#This Row],[SalesPersonID]],tblSalespersonSummary[SalesPersonID],tblSalespersonSummary[SalespersonName],"Not found")</f>
        <v>Jillian Carson</v>
      </c>
      <c r="M273" t="str">
        <f>IF(tblCategorySales[[#This Row],[SalespersonName]]=tblCategorySales[[#This Row],[ExpectedSalespersonName]],"Match","Mismatch")</f>
        <v>Match</v>
      </c>
    </row>
    <row r="274" spans="1:13" x14ac:dyDescent="0.3">
      <c r="A274">
        <v>277</v>
      </c>
      <c r="B274" t="s">
        <v>23</v>
      </c>
      <c r="C274" t="s">
        <v>24</v>
      </c>
      <c r="D274">
        <v>2012</v>
      </c>
      <c r="E274">
        <v>4</v>
      </c>
      <c r="F274">
        <v>3</v>
      </c>
      <c r="G274" t="s">
        <v>72</v>
      </c>
      <c r="H274">
        <v>31</v>
      </c>
      <c r="I274">
        <v>792</v>
      </c>
      <c r="J274">
        <v>22822.906804999999</v>
      </c>
      <c r="K274" t="s">
        <v>75</v>
      </c>
      <c r="L274" t="str">
        <f>_xlfn.XLOOKUP(tblCategorySales[[#This Row],[SalesPersonID]],tblSalespersonSummary[SalesPersonID],tblSalespersonSummary[SalespersonName],"Not found")</f>
        <v>Jillian Carson</v>
      </c>
      <c r="M274" t="str">
        <f>IF(tblCategorySales[[#This Row],[SalespersonName]]=tblCategorySales[[#This Row],[ExpectedSalespersonName]],"Match","Mismatch")</f>
        <v>Match</v>
      </c>
    </row>
    <row r="275" spans="1:13" x14ac:dyDescent="0.3">
      <c r="A275">
        <v>277</v>
      </c>
      <c r="B275" t="s">
        <v>23</v>
      </c>
      <c r="C275" t="s">
        <v>24</v>
      </c>
      <c r="D275">
        <v>2012</v>
      </c>
      <c r="E275">
        <v>4</v>
      </c>
      <c r="F275">
        <v>2</v>
      </c>
      <c r="G275" t="s">
        <v>73</v>
      </c>
      <c r="H275">
        <v>33</v>
      </c>
      <c r="I275">
        <v>460</v>
      </c>
      <c r="J275">
        <v>110151.1035</v>
      </c>
      <c r="K275" t="s">
        <v>75</v>
      </c>
      <c r="L275" t="str">
        <f>_xlfn.XLOOKUP(tblCategorySales[[#This Row],[SalesPersonID]],tblSalespersonSummary[SalesPersonID],tblSalespersonSummary[SalespersonName],"Not found")</f>
        <v>Jillian Carson</v>
      </c>
      <c r="M275" t="str">
        <f>IF(tblCategorySales[[#This Row],[SalespersonName]]=tblCategorySales[[#This Row],[ExpectedSalespersonName]],"Match","Mismatch")</f>
        <v>Match</v>
      </c>
    </row>
    <row r="276" spans="1:13" x14ac:dyDescent="0.3">
      <c r="A276">
        <v>282</v>
      </c>
      <c r="B276" t="s">
        <v>25</v>
      </c>
      <c r="C276" t="s">
        <v>22</v>
      </c>
      <c r="D276">
        <v>2012</v>
      </c>
      <c r="E276">
        <v>4</v>
      </c>
      <c r="F276">
        <v>4</v>
      </c>
      <c r="G276" t="s">
        <v>70</v>
      </c>
      <c r="H276">
        <v>5</v>
      </c>
      <c r="I276">
        <v>47</v>
      </c>
      <c r="J276">
        <v>838.72749999999996</v>
      </c>
      <c r="K276" t="s">
        <v>75</v>
      </c>
      <c r="L276" t="str">
        <f>_xlfn.XLOOKUP(tblCategorySales[[#This Row],[SalesPersonID]],tblSalespersonSummary[SalesPersonID],tblSalespersonSummary[SalespersonName],"Not found")</f>
        <v>José Saraiva</v>
      </c>
      <c r="M276" t="str">
        <f>IF(tblCategorySales[[#This Row],[SalespersonName]]=tblCategorySales[[#This Row],[ExpectedSalespersonName]],"Match","Mismatch")</f>
        <v>Match</v>
      </c>
    </row>
    <row r="277" spans="1:13" x14ac:dyDescent="0.3">
      <c r="A277">
        <v>282</v>
      </c>
      <c r="B277" t="s">
        <v>25</v>
      </c>
      <c r="C277" t="s">
        <v>22</v>
      </c>
      <c r="D277">
        <v>2012</v>
      </c>
      <c r="E277">
        <v>4</v>
      </c>
      <c r="F277">
        <v>1</v>
      </c>
      <c r="G277" t="s">
        <v>71</v>
      </c>
      <c r="H277">
        <v>14</v>
      </c>
      <c r="I277">
        <v>321</v>
      </c>
      <c r="J277">
        <v>277415.25799999997</v>
      </c>
      <c r="K277" t="s">
        <v>75</v>
      </c>
      <c r="L277" t="str">
        <f>_xlfn.XLOOKUP(tblCategorySales[[#This Row],[SalesPersonID]],tblSalespersonSummary[SalesPersonID],tblSalespersonSummary[SalespersonName],"Not found")</f>
        <v>José Saraiva</v>
      </c>
      <c r="M277" t="str">
        <f>IF(tblCategorySales[[#This Row],[SalespersonName]]=tblCategorySales[[#This Row],[ExpectedSalespersonName]],"Match","Mismatch")</f>
        <v>Match</v>
      </c>
    </row>
    <row r="278" spans="1:13" x14ac:dyDescent="0.3">
      <c r="A278">
        <v>282</v>
      </c>
      <c r="B278" t="s">
        <v>25</v>
      </c>
      <c r="C278" t="s">
        <v>22</v>
      </c>
      <c r="D278">
        <v>2012</v>
      </c>
      <c r="E278">
        <v>4</v>
      </c>
      <c r="F278">
        <v>3</v>
      </c>
      <c r="G278" t="s">
        <v>72</v>
      </c>
      <c r="H278">
        <v>10</v>
      </c>
      <c r="I278">
        <v>226</v>
      </c>
      <c r="J278">
        <v>6516.4097250000004</v>
      </c>
      <c r="K278" t="s">
        <v>75</v>
      </c>
      <c r="L278" t="str">
        <f>_xlfn.XLOOKUP(tblCategorySales[[#This Row],[SalesPersonID]],tblSalespersonSummary[SalesPersonID],tblSalespersonSummary[SalespersonName],"Not found")</f>
        <v>José Saraiva</v>
      </c>
      <c r="M278" t="str">
        <f>IF(tblCategorySales[[#This Row],[SalespersonName]]=tblCategorySales[[#This Row],[ExpectedSalespersonName]],"Match","Mismatch")</f>
        <v>Match</v>
      </c>
    </row>
    <row r="279" spans="1:13" x14ac:dyDescent="0.3">
      <c r="A279">
        <v>282</v>
      </c>
      <c r="B279" t="s">
        <v>25</v>
      </c>
      <c r="C279" t="s">
        <v>22</v>
      </c>
      <c r="D279">
        <v>2012</v>
      </c>
      <c r="E279">
        <v>4</v>
      </c>
      <c r="F279">
        <v>2</v>
      </c>
      <c r="G279" t="s">
        <v>73</v>
      </c>
      <c r="H279">
        <v>7</v>
      </c>
      <c r="I279">
        <v>155</v>
      </c>
      <c r="J279">
        <v>39291.152999999998</v>
      </c>
      <c r="K279" t="s">
        <v>75</v>
      </c>
      <c r="L279" t="str">
        <f>_xlfn.XLOOKUP(tblCategorySales[[#This Row],[SalesPersonID]],tblSalespersonSummary[SalesPersonID],tblSalespersonSummary[SalespersonName],"Not found")</f>
        <v>José Saraiva</v>
      </c>
      <c r="M279" t="str">
        <f>IF(tblCategorySales[[#This Row],[SalespersonName]]=tblCategorySales[[#This Row],[ExpectedSalespersonName]],"Match","Mismatch")</f>
        <v>Match</v>
      </c>
    </row>
    <row r="280" spans="1:13" x14ac:dyDescent="0.3">
      <c r="A280">
        <v>276</v>
      </c>
      <c r="B280" t="s">
        <v>26</v>
      </c>
      <c r="C280" t="s">
        <v>27</v>
      </c>
      <c r="D280">
        <v>2012</v>
      </c>
      <c r="E280">
        <v>4</v>
      </c>
      <c r="F280">
        <v>4</v>
      </c>
      <c r="G280" t="s">
        <v>70</v>
      </c>
      <c r="H280">
        <v>13</v>
      </c>
      <c r="I280">
        <v>179</v>
      </c>
      <c r="J280">
        <v>3210.4496469999999</v>
      </c>
      <c r="K280" t="s">
        <v>75</v>
      </c>
      <c r="L280" t="str">
        <f>_xlfn.XLOOKUP(tblCategorySales[[#This Row],[SalesPersonID]],tblSalespersonSummary[SalesPersonID],tblSalespersonSummary[SalespersonName],"Not found")</f>
        <v>Linda Mitchell</v>
      </c>
      <c r="M280" t="str">
        <f>IF(tblCategorySales[[#This Row],[SalespersonName]]=tblCategorySales[[#This Row],[ExpectedSalespersonName]],"Match","Mismatch")</f>
        <v>Match</v>
      </c>
    </row>
    <row r="281" spans="1:13" x14ac:dyDescent="0.3">
      <c r="A281">
        <v>276</v>
      </c>
      <c r="B281" t="s">
        <v>26</v>
      </c>
      <c r="C281" t="s">
        <v>27</v>
      </c>
      <c r="D281">
        <v>2012</v>
      </c>
      <c r="E281">
        <v>4</v>
      </c>
      <c r="F281">
        <v>1</v>
      </c>
      <c r="G281" t="s">
        <v>71</v>
      </c>
      <c r="H281">
        <v>34</v>
      </c>
      <c r="I281">
        <v>920</v>
      </c>
      <c r="J281">
        <v>758109.58702700003</v>
      </c>
      <c r="K281" t="s">
        <v>75</v>
      </c>
      <c r="L281" t="str">
        <f>_xlfn.XLOOKUP(tblCategorySales[[#This Row],[SalesPersonID]],tblSalespersonSummary[SalesPersonID],tblSalespersonSummary[SalespersonName],"Not found")</f>
        <v>Linda Mitchell</v>
      </c>
      <c r="M281" t="str">
        <f>IF(tblCategorySales[[#This Row],[SalespersonName]]=tblCategorySales[[#This Row],[ExpectedSalespersonName]],"Match","Mismatch")</f>
        <v>Match</v>
      </c>
    </row>
    <row r="282" spans="1:13" x14ac:dyDescent="0.3">
      <c r="A282">
        <v>276</v>
      </c>
      <c r="B282" t="s">
        <v>26</v>
      </c>
      <c r="C282" t="s">
        <v>27</v>
      </c>
      <c r="D282">
        <v>2012</v>
      </c>
      <c r="E282">
        <v>4</v>
      </c>
      <c r="F282">
        <v>3</v>
      </c>
      <c r="G282" t="s">
        <v>72</v>
      </c>
      <c r="H282">
        <v>23</v>
      </c>
      <c r="I282">
        <v>775</v>
      </c>
      <c r="J282">
        <v>23055.462313</v>
      </c>
      <c r="K282" t="s">
        <v>75</v>
      </c>
      <c r="L282" t="str">
        <f>_xlfn.XLOOKUP(tblCategorySales[[#This Row],[SalesPersonID]],tblSalespersonSummary[SalesPersonID],tblSalespersonSummary[SalespersonName],"Not found")</f>
        <v>Linda Mitchell</v>
      </c>
      <c r="M282" t="str">
        <f>IF(tblCategorySales[[#This Row],[SalespersonName]]=tblCategorySales[[#This Row],[ExpectedSalespersonName]],"Match","Mismatch")</f>
        <v>Match</v>
      </c>
    </row>
    <row r="283" spans="1:13" x14ac:dyDescent="0.3">
      <c r="A283">
        <v>276</v>
      </c>
      <c r="B283" t="s">
        <v>26</v>
      </c>
      <c r="C283" t="s">
        <v>27</v>
      </c>
      <c r="D283">
        <v>2012</v>
      </c>
      <c r="E283">
        <v>4</v>
      </c>
      <c r="F283">
        <v>2</v>
      </c>
      <c r="G283" t="s">
        <v>73</v>
      </c>
      <c r="H283">
        <v>25</v>
      </c>
      <c r="I283">
        <v>394</v>
      </c>
      <c r="J283">
        <v>93377.208100000003</v>
      </c>
      <c r="K283" t="s">
        <v>75</v>
      </c>
      <c r="L283" t="str">
        <f>_xlfn.XLOOKUP(tblCategorySales[[#This Row],[SalesPersonID]],tblSalespersonSummary[SalesPersonID],tblSalespersonSummary[SalespersonName],"Not found")</f>
        <v>Linda Mitchell</v>
      </c>
      <c r="M283" t="str">
        <f>IF(tblCategorySales[[#This Row],[SalespersonName]]=tblCategorySales[[#This Row],[ExpectedSalespersonName]],"Match","Mismatch")</f>
        <v>Match</v>
      </c>
    </row>
    <row r="284" spans="1:13" x14ac:dyDescent="0.3">
      <c r="A284">
        <v>275</v>
      </c>
      <c r="B284" t="s">
        <v>28</v>
      </c>
      <c r="C284" t="s">
        <v>29</v>
      </c>
      <c r="D284">
        <v>2012</v>
      </c>
      <c r="E284">
        <v>4</v>
      </c>
      <c r="F284">
        <v>4</v>
      </c>
      <c r="G284" t="s">
        <v>70</v>
      </c>
      <c r="H284">
        <v>10</v>
      </c>
      <c r="I284">
        <v>94</v>
      </c>
      <c r="J284">
        <v>1738.041356</v>
      </c>
      <c r="K284" t="s">
        <v>74</v>
      </c>
      <c r="L284" t="str">
        <f>_xlfn.XLOOKUP(tblCategorySales[[#This Row],[SalesPersonID]],tblSalespersonSummary[SalesPersonID],tblSalespersonSummary[SalespersonName],"Not found")</f>
        <v>Michael Blythe</v>
      </c>
      <c r="M284" t="str">
        <f>IF(tblCategorySales[[#This Row],[SalespersonName]]=tblCategorySales[[#This Row],[ExpectedSalespersonName]],"Match","Mismatch")</f>
        <v>Match</v>
      </c>
    </row>
    <row r="285" spans="1:13" x14ac:dyDescent="0.3">
      <c r="A285">
        <v>275</v>
      </c>
      <c r="B285" t="s">
        <v>28</v>
      </c>
      <c r="C285" t="s">
        <v>29</v>
      </c>
      <c r="D285">
        <v>2012</v>
      </c>
      <c r="E285">
        <v>4</v>
      </c>
      <c r="F285">
        <v>1</v>
      </c>
      <c r="G285" t="s">
        <v>71</v>
      </c>
      <c r="H285">
        <v>26</v>
      </c>
      <c r="I285">
        <v>738</v>
      </c>
      <c r="J285">
        <v>562019.360506</v>
      </c>
      <c r="K285" t="s">
        <v>74</v>
      </c>
      <c r="L285" t="str">
        <f>_xlfn.XLOOKUP(tblCategorySales[[#This Row],[SalesPersonID]],tblSalespersonSummary[SalesPersonID],tblSalespersonSummary[SalespersonName],"Not found")</f>
        <v>Michael Blythe</v>
      </c>
      <c r="M285" t="str">
        <f>IF(tblCategorySales[[#This Row],[SalespersonName]]=tblCategorySales[[#This Row],[ExpectedSalespersonName]],"Match","Mismatch")</f>
        <v>Match</v>
      </c>
    </row>
    <row r="286" spans="1:13" x14ac:dyDescent="0.3">
      <c r="A286">
        <v>275</v>
      </c>
      <c r="B286" t="s">
        <v>28</v>
      </c>
      <c r="C286" t="s">
        <v>29</v>
      </c>
      <c r="D286">
        <v>2012</v>
      </c>
      <c r="E286">
        <v>4</v>
      </c>
      <c r="F286">
        <v>3</v>
      </c>
      <c r="G286" t="s">
        <v>72</v>
      </c>
      <c r="H286">
        <v>15</v>
      </c>
      <c r="I286">
        <v>351</v>
      </c>
      <c r="J286">
        <v>10463.302044</v>
      </c>
      <c r="K286" t="s">
        <v>74</v>
      </c>
      <c r="L286" t="str">
        <f>_xlfn.XLOOKUP(tblCategorySales[[#This Row],[SalesPersonID]],tblSalespersonSummary[SalesPersonID],tblSalespersonSummary[SalespersonName],"Not found")</f>
        <v>Michael Blythe</v>
      </c>
      <c r="M286" t="str">
        <f>IF(tblCategorySales[[#This Row],[SalespersonName]]=tblCategorySales[[#This Row],[ExpectedSalespersonName]],"Match","Mismatch")</f>
        <v>Match</v>
      </c>
    </row>
    <row r="287" spans="1:13" x14ac:dyDescent="0.3">
      <c r="A287">
        <v>275</v>
      </c>
      <c r="B287" t="s">
        <v>28</v>
      </c>
      <c r="C287" t="s">
        <v>29</v>
      </c>
      <c r="D287">
        <v>2012</v>
      </c>
      <c r="E287">
        <v>4</v>
      </c>
      <c r="F287">
        <v>2</v>
      </c>
      <c r="G287" t="s">
        <v>73</v>
      </c>
      <c r="H287">
        <v>17</v>
      </c>
      <c r="I287">
        <v>294</v>
      </c>
      <c r="J287">
        <v>70738.518800000005</v>
      </c>
      <c r="K287" t="s">
        <v>74</v>
      </c>
      <c r="L287" t="str">
        <f>_xlfn.XLOOKUP(tblCategorySales[[#This Row],[SalesPersonID]],tblSalespersonSummary[SalesPersonID],tblSalespersonSummary[SalespersonName],"Not found")</f>
        <v>Michael Blythe</v>
      </c>
      <c r="M287" t="str">
        <f>IF(tblCategorySales[[#This Row],[SalespersonName]]=tblCategorySales[[#This Row],[ExpectedSalespersonName]],"Match","Mismatch")</f>
        <v>Match</v>
      </c>
    </row>
    <row r="288" spans="1:13" x14ac:dyDescent="0.3">
      <c r="A288">
        <v>280</v>
      </c>
      <c r="B288" t="s">
        <v>30</v>
      </c>
      <c r="C288" t="s">
        <v>16</v>
      </c>
      <c r="D288">
        <v>2012</v>
      </c>
      <c r="E288">
        <v>4</v>
      </c>
      <c r="F288">
        <v>4</v>
      </c>
      <c r="G288" t="s">
        <v>70</v>
      </c>
      <c r="H288">
        <v>1</v>
      </c>
      <c r="I288">
        <v>24</v>
      </c>
      <c r="J288">
        <v>430.96</v>
      </c>
      <c r="K288" t="s">
        <v>74</v>
      </c>
      <c r="L288" t="str">
        <f>_xlfn.XLOOKUP(tblCategorySales[[#This Row],[SalesPersonID]],tblSalespersonSummary[SalesPersonID],tblSalespersonSummary[SalespersonName],"Not found")</f>
        <v>Pamela Ansman-Wolfe</v>
      </c>
      <c r="M288" t="str">
        <f>IF(tblCategorySales[[#This Row],[SalespersonName]]=tblCategorySales[[#This Row],[ExpectedSalespersonName]],"Match","Mismatch")</f>
        <v>Match</v>
      </c>
    </row>
    <row r="289" spans="1:13" x14ac:dyDescent="0.3">
      <c r="A289">
        <v>280</v>
      </c>
      <c r="B289" t="s">
        <v>30</v>
      </c>
      <c r="C289" t="s">
        <v>16</v>
      </c>
      <c r="D289">
        <v>2012</v>
      </c>
      <c r="E289">
        <v>4</v>
      </c>
      <c r="F289">
        <v>1</v>
      </c>
      <c r="G289" t="s">
        <v>71</v>
      </c>
      <c r="H289">
        <v>3</v>
      </c>
      <c r="I289">
        <v>92</v>
      </c>
      <c r="J289">
        <v>96591.320452</v>
      </c>
      <c r="K289" t="s">
        <v>74</v>
      </c>
      <c r="L289" t="str">
        <f>_xlfn.XLOOKUP(tblCategorySales[[#This Row],[SalesPersonID]],tblSalespersonSummary[SalesPersonID],tblSalespersonSummary[SalespersonName],"Not found")</f>
        <v>Pamela Ansman-Wolfe</v>
      </c>
      <c r="M289" t="str">
        <f>IF(tblCategorySales[[#This Row],[SalespersonName]]=tblCategorySales[[#This Row],[ExpectedSalespersonName]],"Match","Mismatch")</f>
        <v>Match</v>
      </c>
    </row>
    <row r="290" spans="1:13" x14ac:dyDescent="0.3">
      <c r="A290">
        <v>280</v>
      </c>
      <c r="B290" t="s">
        <v>30</v>
      </c>
      <c r="C290" t="s">
        <v>16</v>
      </c>
      <c r="D290">
        <v>2012</v>
      </c>
      <c r="E290">
        <v>4</v>
      </c>
      <c r="F290">
        <v>3</v>
      </c>
      <c r="G290" t="s">
        <v>72</v>
      </c>
      <c r="H290">
        <v>3</v>
      </c>
      <c r="I290">
        <v>113</v>
      </c>
      <c r="J290">
        <v>3483.0129999999999</v>
      </c>
      <c r="K290" t="s">
        <v>74</v>
      </c>
      <c r="L290" t="str">
        <f>_xlfn.XLOOKUP(tblCategorySales[[#This Row],[SalesPersonID]],tblSalespersonSummary[SalesPersonID],tblSalespersonSummary[SalespersonName],"Not found")</f>
        <v>Pamela Ansman-Wolfe</v>
      </c>
      <c r="M290" t="str">
        <f>IF(tblCategorySales[[#This Row],[SalespersonName]]=tblCategorySales[[#This Row],[ExpectedSalespersonName]],"Match","Mismatch")</f>
        <v>Match</v>
      </c>
    </row>
    <row r="291" spans="1:13" x14ac:dyDescent="0.3">
      <c r="A291">
        <v>280</v>
      </c>
      <c r="B291" t="s">
        <v>30</v>
      </c>
      <c r="C291" t="s">
        <v>16</v>
      </c>
      <c r="D291">
        <v>2012</v>
      </c>
      <c r="E291">
        <v>4</v>
      </c>
      <c r="F291">
        <v>2</v>
      </c>
      <c r="G291" t="s">
        <v>73</v>
      </c>
      <c r="H291">
        <v>3</v>
      </c>
      <c r="I291">
        <v>71</v>
      </c>
      <c r="J291">
        <v>18340.516599999999</v>
      </c>
      <c r="K291" t="s">
        <v>74</v>
      </c>
      <c r="L291" t="str">
        <f>_xlfn.XLOOKUP(tblCategorySales[[#This Row],[SalesPersonID]],tblSalespersonSummary[SalesPersonID],tblSalespersonSummary[SalespersonName],"Not found")</f>
        <v>Pamela Ansman-Wolfe</v>
      </c>
      <c r="M291" t="str">
        <f>IF(tblCategorySales[[#This Row],[SalespersonName]]=tblCategorySales[[#This Row],[ExpectedSalespersonName]],"Match","Mismatch")</f>
        <v>Match</v>
      </c>
    </row>
    <row r="292" spans="1:13" x14ac:dyDescent="0.3">
      <c r="A292">
        <v>290</v>
      </c>
      <c r="B292" t="s">
        <v>46</v>
      </c>
      <c r="C292" t="s">
        <v>47</v>
      </c>
      <c r="D292">
        <v>2012</v>
      </c>
      <c r="E292">
        <v>4</v>
      </c>
      <c r="F292">
        <v>4</v>
      </c>
      <c r="G292" t="s">
        <v>70</v>
      </c>
      <c r="H292">
        <v>5</v>
      </c>
      <c r="I292">
        <v>62</v>
      </c>
      <c r="J292">
        <v>1088.8344999999999</v>
      </c>
      <c r="K292" t="s">
        <v>75</v>
      </c>
      <c r="L292" t="str">
        <f>_xlfn.XLOOKUP(tblCategorySales[[#This Row],[SalesPersonID]],tblSalespersonSummary[SalesPersonID],tblSalespersonSummary[SalespersonName],"Not found")</f>
        <v>Ranjit Varkey Chudukatil</v>
      </c>
      <c r="M292" t="str">
        <f>IF(tblCategorySales[[#This Row],[SalespersonName]]=tblCategorySales[[#This Row],[ExpectedSalespersonName]],"Match","Mismatch")</f>
        <v>Match</v>
      </c>
    </row>
    <row r="293" spans="1:13" x14ac:dyDescent="0.3">
      <c r="A293">
        <v>290</v>
      </c>
      <c r="B293" t="s">
        <v>46</v>
      </c>
      <c r="C293" t="s">
        <v>47</v>
      </c>
      <c r="D293">
        <v>2012</v>
      </c>
      <c r="E293">
        <v>4</v>
      </c>
      <c r="F293">
        <v>1</v>
      </c>
      <c r="G293" t="s">
        <v>71</v>
      </c>
      <c r="H293">
        <v>13</v>
      </c>
      <c r="I293">
        <v>240</v>
      </c>
      <c r="J293">
        <v>192371.88397600001</v>
      </c>
      <c r="K293" t="s">
        <v>75</v>
      </c>
      <c r="L293" t="str">
        <f>_xlfn.XLOOKUP(tblCategorySales[[#This Row],[SalesPersonID]],tblSalespersonSummary[SalesPersonID],tblSalespersonSummary[SalespersonName],"Not found")</f>
        <v>Ranjit Varkey Chudukatil</v>
      </c>
      <c r="M293" t="str">
        <f>IF(tblCategorySales[[#This Row],[SalespersonName]]=tblCategorySales[[#This Row],[ExpectedSalespersonName]],"Match","Mismatch")</f>
        <v>Match</v>
      </c>
    </row>
    <row r="294" spans="1:13" x14ac:dyDescent="0.3">
      <c r="A294">
        <v>290</v>
      </c>
      <c r="B294" t="s">
        <v>46</v>
      </c>
      <c r="C294" t="s">
        <v>47</v>
      </c>
      <c r="D294">
        <v>2012</v>
      </c>
      <c r="E294">
        <v>4</v>
      </c>
      <c r="F294">
        <v>3</v>
      </c>
      <c r="G294" t="s">
        <v>72</v>
      </c>
      <c r="H294">
        <v>10</v>
      </c>
      <c r="I294">
        <v>232</v>
      </c>
      <c r="J294">
        <v>7172.8331239999998</v>
      </c>
      <c r="K294" t="s">
        <v>75</v>
      </c>
      <c r="L294" t="str">
        <f>_xlfn.XLOOKUP(tblCategorySales[[#This Row],[SalesPersonID]],tblSalespersonSummary[SalesPersonID],tblSalespersonSummary[SalespersonName],"Not found")</f>
        <v>Ranjit Varkey Chudukatil</v>
      </c>
      <c r="M294" t="str">
        <f>IF(tblCategorySales[[#This Row],[SalespersonName]]=tblCategorySales[[#This Row],[ExpectedSalespersonName]],"Match","Mismatch")</f>
        <v>Match</v>
      </c>
    </row>
    <row r="295" spans="1:13" x14ac:dyDescent="0.3">
      <c r="A295">
        <v>290</v>
      </c>
      <c r="B295" t="s">
        <v>46</v>
      </c>
      <c r="C295" t="s">
        <v>47</v>
      </c>
      <c r="D295">
        <v>2012</v>
      </c>
      <c r="E295">
        <v>4</v>
      </c>
      <c r="F295">
        <v>2</v>
      </c>
      <c r="G295" t="s">
        <v>73</v>
      </c>
      <c r="H295">
        <v>6</v>
      </c>
      <c r="I295">
        <v>143</v>
      </c>
      <c r="J295">
        <v>35320.247300000003</v>
      </c>
      <c r="K295" t="s">
        <v>75</v>
      </c>
      <c r="L295" t="str">
        <f>_xlfn.XLOOKUP(tblCategorySales[[#This Row],[SalesPersonID]],tblSalespersonSummary[SalesPersonID],tblSalespersonSummary[SalespersonName],"Not found")</f>
        <v>Ranjit Varkey Chudukatil</v>
      </c>
      <c r="M295" t="str">
        <f>IF(tblCategorySales[[#This Row],[SalespersonName]]=tblCategorySales[[#This Row],[ExpectedSalespersonName]],"Match","Mismatch")</f>
        <v>Match</v>
      </c>
    </row>
    <row r="296" spans="1:13" x14ac:dyDescent="0.3">
      <c r="A296">
        <v>281</v>
      </c>
      <c r="B296" t="s">
        <v>31</v>
      </c>
      <c r="C296" t="s">
        <v>27</v>
      </c>
      <c r="D296">
        <v>2012</v>
      </c>
      <c r="E296">
        <v>4</v>
      </c>
      <c r="F296">
        <v>4</v>
      </c>
      <c r="G296" t="s">
        <v>70</v>
      </c>
      <c r="H296">
        <v>5</v>
      </c>
      <c r="I296">
        <v>55</v>
      </c>
      <c r="J296">
        <v>1001.045</v>
      </c>
      <c r="K296" t="s">
        <v>75</v>
      </c>
      <c r="L296" t="str">
        <f>_xlfn.XLOOKUP(tblCategorySales[[#This Row],[SalesPersonID]],tblSalespersonSummary[SalesPersonID],tblSalespersonSummary[SalespersonName],"Not found")</f>
        <v>Shu Ito</v>
      </c>
      <c r="M296" t="str">
        <f>IF(tblCategorySales[[#This Row],[SalespersonName]]=tblCategorySales[[#This Row],[ExpectedSalespersonName]],"Match","Mismatch")</f>
        <v>Match</v>
      </c>
    </row>
    <row r="297" spans="1:13" x14ac:dyDescent="0.3">
      <c r="A297">
        <v>281</v>
      </c>
      <c r="B297" t="s">
        <v>31</v>
      </c>
      <c r="C297" t="s">
        <v>27</v>
      </c>
      <c r="D297">
        <v>2012</v>
      </c>
      <c r="E297">
        <v>4</v>
      </c>
      <c r="F297">
        <v>1</v>
      </c>
      <c r="G297" t="s">
        <v>71</v>
      </c>
      <c r="H297">
        <v>19</v>
      </c>
      <c r="I297">
        <v>577</v>
      </c>
      <c r="J297">
        <v>454513.06436000002</v>
      </c>
      <c r="K297" t="s">
        <v>75</v>
      </c>
      <c r="L297" t="str">
        <f>_xlfn.XLOOKUP(tblCategorySales[[#This Row],[SalesPersonID]],tblSalespersonSummary[SalesPersonID],tblSalespersonSummary[SalespersonName],"Not found")</f>
        <v>Shu Ito</v>
      </c>
      <c r="M297" t="str">
        <f>IF(tblCategorySales[[#This Row],[SalespersonName]]=tblCategorySales[[#This Row],[ExpectedSalespersonName]],"Match","Mismatch")</f>
        <v>Match</v>
      </c>
    </row>
    <row r="298" spans="1:13" x14ac:dyDescent="0.3">
      <c r="A298">
        <v>281</v>
      </c>
      <c r="B298" t="s">
        <v>31</v>
      </c>
      <c r="C298" t="s">
        <v>27</v>
      </c>
      <c r="D298">
        <v>2012</v>
      </c>
      <c r="E298">
        <v>4</v>
      </c>
      <c r="F298">
        <v>3</v>
      </c>
      <c r="G298" t="s">
        <v>72</v>
      </c>
      <c r="H298">
        <v>15</v>
      </c>
      <c r="I298">
        <v>300</v>
      </c>
      <c r="J298">
        <v>9048.2973999999995</v>
      </c>
      <c r="K298" t="s">
        <v>75</v>
      </c>
      <c r="L298" t="str">
        <f>_xlfn.XLOOKUP(tblCategorySales[[#This Row],[SalesPersonID]],tblSalespersonSummary[SalesPersonID],tblSalespersonSummary[SalespersonName],"Not found")</f>
        <v>Shu Ito</v>
      </c>
      <c r="M298" t="str">
        <f>IF(tblCategorySales[[#This Row],[SalespersonName]]=tblCategorySales[[#This Row],[ExpectedSalespersonName]],"Match","Mismatch")</f>
        <v>Match</v>
      </c>
    </row>
    <row r="299" spans="1:13" x14ac:dyDescent="0.3">
      <c r="A299">
        <v>281</v>
      </c>
      <c r="B299" t="s">
        <v>31</v>
      </c>
      <c r="C299" t="s">
        <v>27</v>
      </c>
      <c r="D299">
        <v>2012</v>
      </c>
      <c r="E299">
        <v>4</v>
      </c>
      <c r="F299">
        <v>2</v>
      </c>
      <c r="G299" t="s">
        <v>73</v>
      </c>
      <c r="H299">
        <v>15</v>
      </c>
      <c r="I299">
        <v>266</v>
      </c>
      <c r="J299">
        <v>60176.583100000003</v>
      </c>
      <c r="K299" t="s">
        <v>75</v>
      </c>
      <c r="L299" t="str">
        <f>_xlfn.XLOOKUP(tblCategorySales[[#This Row],[SalesPersonID]],tblSalespersonSummary[SalesPersonID],tblSalespersonSummary[SalespersonName],"Not found")</f>
        <v>Shu Ito</v>
      </c>
      <c r="M299" t="str">
        <f>IF(tblCategorySales[[#This Row],[SalespersonName]]=tblCategorySales[[#This Row],[ExpectedSalespersonName]],"Match","Mismatch")</f>
        <v>Match</v>
      </c>
    </row>
    <row r="300" spans="1:13" x14ac:dyDescent="0.3">
      <c r="A300">
        <v>274</v>
      </c>
      <c r="B300" t="s">
        <v>32</v>
      </c>
      <c r="C300" t="s">
        <v>33</v>
      </c>
      <c r="D300">
        <v>2012</v>
      </c>
      <c r="E300">
        <v>4</v>
      </c>
      <c r="F300">
        <v>4</v>
      </c>
      <c r="G300" t="s">
        <v>70</v>
      </c>
      <c r="H300">
        <v>2</v>
      </c>
      <c r="I300">
        <v>33</v>
      </c>
      <c r="J300">
        <v>618.65049999999997</v>
      </c>
      <c r="K300" t="s">
        <v>75</v>
      </c>
      <c r="L300" t="str">
        <f>_xlfn.XLOOKUP(tblCategorySales[[#This Row],[SalesPersonID]],tblSalespersonSummary[SalesPersonID],tblSalespersonSummary[SalespersonName],"Not found")</f>
        <v>Stephen Jiang</v>
      </c>
      <c r="M300" t="str">
        <f>IF(tblCategorySales[[#This Row],[SalespersonName]]=tblCategorySales[[#This Row],[ExpectedSalespersonName]],"Match","Mismatch")</f>
        <v>Match</v>
      </c>
    </row>
    <row r="301" spans="1:13" x14ac:dyDescent="0.3">
      <c r="A301">
        <v>274</v>
      </c>
      <c r="B301" t="s">
        <v>32</v>
      </c>
      <c r="C301" t="s">
        <v>33</v>
      </c>
      <c r="D301">
        <v>2012</v>
      </c>
      <c r="E301">
        <v>4</v>
      </c>
      <c r="F301">
        <v>1</v>
      </c>
      <c r="G301" t="s">
        <v>71</v>
      </c>
      <c r="H301">
        <v>3</v>
      </c>
      <c r="I301">
        <v>232</v>
      </c>
      <c r="J301">
        <v>156772.77398299999</v>
      </c>
      <c r="K301" t="s">
        <v>75</v>
      </c>
      <c r="L301" t="str">
        <f>_xlfn.XLOOKUP(tblCategorySales[[#This Row],[SalesPersonID]],tblSalespersonSummary[SalesPersonID],tblSalespersonSummary[SalespersonName],"Not found")</f>
        <v>Stephen Jiang</v>
      </c>
      <c r="M301" t="str">
        <f>IF(tblCategorySales[[#This Row],[SalespersonName]]=tblCategorySales[[#This Row],[ExpectedSalespersonName]],"Match","Mismatch")</f>
        <v>Match</v>
      </c>
    </row>
    <row r="302" spans="1:13" x14ac:dyDescent="0.3">
      <c r="A302">
        <v>274</v>
      </c>
      <c r="B302" t="s">
        <v>32</v>
      </c>
      <c r="C302" t="s">
        <v>33</v>
      </c>
      <c r="D302">
        <v>2012</v>
      </c>
      <c r="E302">
        <v>4</v>
      </c>
      <c r="F302">
        <v>3</v>
      </c>
      <c r="G302" t="s">
        <v>72</v>
      </c>
      <c r="H302">
        <v>3</v>
      </c>
      <c r="I302">
        <v>90</v>
      </c>
      <c r="J302">
        <v>3325.4281999999998</v>
      </c>
      <c r="K302" t="s">
        <v>75</v>
      </c>
      <c r="L302" t="str">
        <f>_xlfn.XLOOKUP(tblCategorySales[[#This Row],[SalesPersonID]],tblSalespersonSummary[SalesPersonID],tblSalespersonSummary[SalespersonName],"Not found")</f>
        <v>Stephen Jiang</v>
      </c>
      <c r="M302" t="str">
        <f>IF(tblCategorySales[[#This Row],[SalespersonName]]=tblCategorySales[[#This Row],[ExpectedSalespersonName]],"Match","Mismatch")</f>
        <v>Match</v>
      </c>
    </row>
    <row r="303" spans="1:13" x14ac:dyDescent="0.3">
      <c r="A303">
        <v>274</v>
      </c>
      <c r="B303" t="s">
        <v>32</v>
      </c>
      <c r="C303" t="s">
        <v>33</v>
      </c>
      <c r="D303">
        <v>2012</v>
      </c>
      <c r="E303">
        <v>4</v>
      </c>
      <c r="F303">
        <v>2</v>
      </c>
      <c r="G303" t="s">
        <v>73</v>
      </c>
      <c r="H303">
        <v>3</v>
      </c>
      <c r="I303">
        <v>69</v>
      </c>
      <c r="J303">
        <v>16579.3482</v>
      </c>
      <c r="K303" t="s">
        <v>75</v>
      </c>
      <c r="L303" t="str">
        <f>_xlfn.XLOOKUP(tblCategorySales[[#This Row],[SalesPersonID]],tblSalespersonSummary[SalesPersonID],tblSalespersonSummary[SalespersonName],"Not found")</f>
        <v>Stephen Jiang</v>
      </c>
      <c r="M303" t="str">
        <f>IF(tblCategorySales[[#This Row],[SalespersonName]]=tblCategorySales[[#This Row],[ExpectedSalespersonName]],"Match","Mismatch")</f>
        <v>Match</v>
      </c>
    </row>
    <row r="304" spans="1:13" x14ac:dyDescent="0.3">
      <c r="A304">
        <v>284</v>
      </c>
      <c r="B304" t="s">
        <v>50</v>
      </c>
      <c r="C304" t="s">
        <v>16</v>
      </c>
      <c r="D304">
        <v>2012</v>
      </c>
      <c r="E304">
        <v>4</v>
      </c>
      <c r="F304">
        <v>4</v>
      </c>
      <c r="G304" t="s">
        <v>70</v>
      </c>
      <c r="H304">
        <v>3</v>
      </c>
      <c r="I304">
        <v>49</v>
      </c>
      <c r="J304">
        <v>889.47349999999994</v>
      </c>
      <c r="K304" t="s">
        <v>74</v>
      </c>
      <c r="L304" t="str">
        <f>_xlfn.XLOOKUP(tblCategorySales[[#This Row],[SalesPersonID]],tblSalespersonSummary[SalesPersonID],tblSalespersonSummary[SalespersonName],"Not found")</f>
        <v>Tete Mensa-Annan</v>
      </c>
      <c r="M304" t="str">
        <f>IF(tblCategorySales[[#This Row],[SalespersonName]]=tblCategorySales[[#This Row],[ExpectedSalespersonName]],"Match","Mismatch")</f>
        <v>Match</v>
      </c>
    </row>
    <row r="305" spans="1:13" x14ac:dyDescent="0.3">
      <c r="A305">
        <v>284</v>
      </c>
      <c r="B305" t="s">
        <v>50</v>
      </c>
      <c r="C305" t="s">
        <v>16</v>
      </c>
      <c r="D305">
        <v>2012</v>
      </c>
      <c r="E305">
        <v>4</v>
      </c>
      <c r="F305">
        <v>1</v>
      </c>
      <c r="G305" t="s">
        <v>71</v>
      </c>
      <c r="H305">
        <v>13</v>
      </c>
      <c r="I305">
        <v>254</v>
      </c>
      <c r="J305">
        <v>193423.4681</v>
      </c>
      <c r="K305" t="s">
        <v>74</v>
      </c>
      <c r="L305" t="str">
        <f>_xlfn.XLOOKUP(tblCategorySales[[#This Row],[SalesPersonID]],tblSalespersonSummary[SalesPersonID],tblSalespersonSummary[SalespersonName],"Not found")</f>
        <v>Tete Mensa-Annan</v>
      </c>
      <c r="M305" t="str">
        <f>IF(tblCategorySales[[#This Row],[SalespersonName]]=tblCategorySales[[#This Row],[ExpectedSalespersonName]],"Match","Mismatch")</f>
        <v>Match</v>
      </c>
    </row>
    <row r="306" spans="1:13" x14ac:dyDescent="0.3">
      <c r="A306">
        <v>284</v>
      </c>
      <c r="B306" t="s">
        <v>50</v>
      </c>
      <c r="C306" t="s">
        <v>16</v>
      </c>
      <c r="D306">
        <v>2012</v>
      </c>
      <c r="E306">
        <v>4</v>
      </c>
      <c r="F306">
        <v>3</v>
      </c>
      <c r="G306" t="s">
        <v>72</v>
      </c>
      <c r="H306">
        <v>9</v>
      </c>
      <c r="I306">
        <v>163</v>
      </c>
      <c r="J306">
        <v>4947.3329999999996</v>
      </c>
      <c r="K306" t="s">
        <v>74</v>
      </c>
      <c r="L306" t="str">
        <f>_xlfn.XLOOKUP(tblCategorySales[[#This Row],[SalesPersonID]],tblSalespersonSummary[SalesPersonID],tblSalespersonSummary[SalespersonName],"Not found")</f>
        <v>Tete Mensa-Annan</v>
      </c>
      <c r="M306" t="str">
        <f>IF(tblCategorySales[[#This Row],[SalespersonName]]=tblCategorySales[[#This Row],[ExpectedSalespersonName]],"Match","Mismatch")</f>
        <v>Match</v>
      </c>
    </row>
    <row r="307" spans="1:13" x14ac:dyDescent="0.3">
      <c r="A307">
        <v>284</v>
      </c>
      <c r="B307" t="s">
        <v>50</v>
      </c>
      <c r="C307" t="s">
        <v>16</v>
      </c>
      <c r="D307">
        <v>2012</v>
      </c>
      <c r="E307">
        <v>4</v>
      </c>
      <c r="F307">
        <v>2</v>
      </c>
      <c r="G307" t="s">
        <v>73</v>
      </c>
      <c r="H307">
        <v>8</v>
      </c>
      <c r="I307">
        <v>73</v>
      </c>
      <c r="J307">
        <v>20590.942800000001</v>
      </c>
      <c r="K307" t="s">
        <v>74</v>
      </c>
      <c r="L307" t="str">
        <f>_xlfn.XLOOKUP(tblCategorySales[[#This Row],[SalesPersonID]],tblSalespersonSummary[SalesPersonID],tblSalespersonSummary[SalespersonName],"Not found")</f>
        <v>Tete Mensa-Annan</v>
      </c>
      <c r="M307" t="str">
        <f>IF(tblCategorySales[[#This Row],[SalespersonName]]=tblCategorySales[[#This Row],[ExpectedSalespersonName]],"Match","Mismatch")</f>
        <v>Match</v>
      </c>
    </row>
    <row r="308" spans="1:13" x14ac:dyDescent="0.3">
      <c r="A308">
        <v>279</v>
      </c>
      <c r="B308" t="s">
        <v>34</v>
      </c>
      <c r="C308" t="s">
        <v>35</v>
      </c>
      <c r="D308">
        <v>2012</v>
      </c>
      <c r="E308">
        <v>4</v>
      </c>
      <c r="F308">
        <v>4</v>
      </c>
      <c r="G308" t="s">
        <v>70</v>
      </c>
      <c r="H308">
        <v>8</v>
      </c>
      <c r="I308">
        <v>61</v>
      </c>
      <c r="J308">
        <v>1086.3879999999999</v>
      </c>
      <c r="K308" t="s">
        <v>74</v>
      </c>
      <c r="L308" t="str">
        <f>_xlfn.XLOOKUP(tblCategorySales[[#This Row],[SalesPersonID]],tblSalespersonSummary[SalesPersonID],tblSalespersonSummary[SalespersonName],"Not found")</f>
        <v>Tsvi Reiter</v>
      </c>
      <c r="M308" t="str">
        <f>IF(tblCategorySales[[#This Row],[SalespersonName]]=tblCategorySales[[#This Row],[ExpectedSalespersonName]],"Match","Mismatch")</f>
        <v>Match</v>
      </c>
    </row>
    <row r="309" spans="1:13" x14ac:dyDescent="0.3">
      <c r="A309">
        <v>279</v>
      </c>
      <c r="B309" t="s">
        <v>34</v>
      </c>
      <c r="C309" t="s">
        <v>35</v>
      </c>
      <c r="D309">
        <v>2012</v>
      </c>
      <c r="E309">
        <v>4</v>
      </c>
      <c r="F309">
        <v>1</v>
      </c>
      <c r="G309" t="s">
        <v>71</v>
      </c>
      <c r="H309">
        <v>27</v>
      </c>
      <c r="I309">
        <v>526</v>
      </c>
      <c r="J309">
        <v>437106.17139999999</v>
      </c>
      <c r="K309" t="s">
        <v>74</v>
      </c>
      <c r="L309" t="str">
        <f>_xlfn.XLOOKUP(tblCategorySales[[#This Row],[SalesPersonID]],tblSalespersonSummary[SalesPersonID],tblSalespersonSummary[SalespersonName],"Not found")</f>
        <v>Tsvi Reiter</v>
      </c>
      <c r="M309" t="str">
        <f>IF(tblCategorySales[[#This Row],[SalespersonName]]=tblCategorySales[[#This Row],[ExpectedSalespersonName]],"Match","Mismatch")</f>
        <v>Match</v>
      </c>
    </row>
    <row r="310" spans="1:13" x14ac:dyDescent="0.3">
      <c r="A310">
        <v>279</v>
      </c>
      <c r="B310" t="s">
        <v>34</v>
      </c>
      <c r="C310" t="s">
        <v>35</v>
      </c>
      <c r="D310">
        <v>2012</v>
      </c>
      <c r="E310">
        <v>4</v>
      </c>
      <c r="F310">
        <v>3</v>
      </c>
      <c r="G310" t="s">
        <v>72</v>
      </c>
      <c r="H310">
        <v>19</v>
      </c>
      <c r="I310">
        <v>299</v>
      </c>
      <c r="J310">
        <v>8904.077792</v>
      </c>
      <c r="K310" t="s">
        <v>74</v>
      </c>
      <c r="L310" t="str">
        <f>_xlfn.XLOOKUP(tblCategorySales[[#This Row],[SalesPersonID]],tblSalespersonSummary[SalesPersonID],tblSalespersonSummary[SalespersonName],"Not found")</f>
        <v>Tsvi Reiter</v>
      </c>
      <c r="M310" t="str">
        <f>IF(tblCategorySales[[#This Row],[SalespersonName]]=tblCategorySales[[#This Row],[ExpectedSalespersonName]],"Match","Mismatch")</f>
        <v>Match</v>
      </c>
    </row>
    <row r="311" spans="1:13" x14ac:dyDescent="0.3">
      <c r="A311">
        <v>279</v>
      </c>
      <c r="B311" t="s">
        <v>34</v>
      </c>
      <c r="C311" t="s">
        <v>35</v>
      </c>
      <c r="D311">
        <v>2012</v>
      </c>
      <c r="E311">
        <v>4</v>
      </c>
      <c r="F311">
        <v>2</v>
      </c>
      <c r="G311" t="s">
        <v>73</v>
      </c>
      <c r="H311">
        <v>19</v>
      </c>
      <c r="I311">
        <v>181</v>
      </c>
      <c r="J311">
        <v>39030.867100000003</v>
      </c>
      <c r="K311" t="s">
        <v>74</v>
      </c>
      <c r="L311" t="str">
        <f>_xlfn.XLOOKUP(tblCategorySales[[#This Row],[SalesPersonID]],tblSalespersonSummary[SalesPersonID],tblSalespersonSummary[SalespersonName],"Not found")</f>
        <v>Tsvi Reiter</v>
      </c>
      <c r="M311" t="str">
        <f>IF(tblCategorySales[[#This Row],[SalespersonName]]=tblCategorySales[[#This Row],[ExpectedSalespersonName]],"Match","Mismatch")</f>
        <v>Match</v>
      </c>
    </row>
    <row r="312" spans="1:13" x14ac:dyDescent="0.3">
      <c r="A312">
        <v>287</v>
      </c>
      <c r="B312" t="s">
        <v>42</v>
      </c>
      <c r="C312" t="s">
        <v>33</v>
      </c>
      <c r="D312">
        <v>2013</v>
      </c>
      <c r="E312">
        <v>1</v>
      </c>
      <c r="F312">
        <v>4</v>
      </c>
      <c r="G312" t="s">
        <v>70</v>
      </c>
      <c r="H312">
        <v>1</v>
      </c>
      <c r="I312">
        <v>18</v>
      </c>
      <c r="J312">
        <v>346.97199999999998</v>
      </c>
      <c r="K312" t="s">
        <v>74</v>
      </c>
      <c r="L312" t="str">
        <f>_xlfn.XLOOKUP(tblCategorySales[[#This Row],[SalesPersonID]],tblSalespersonSummary[SalesPersonID],tblSalespersonSummary[SalespersonName],"Not found")</f>
        <v>Amy Alberts</v>
      </c>
      <c r="M312" t="str">
        <f>IF(tblCategorySales[[#This Row],[SalespersonName]]=tblCategorySales[[#This Row],[ExpectedSalespersonName]],"Match","Mismatch")</f>
        <v>Match</v>
      </c>
    </row>
    <row r="313" spans="1:13" x14ac:dyDescent="0.3">
      <c r="A313">
        <v>287</v>
      </c>
      <c r="B313" t="s">
        <v>42</v>
      </c>
      <c r="C313" t="s">
        <v>33</v>
      </c>
      <c r="D313">
        <v>2013</v>
      </c>
      <c r="E313">
        <v>1</v>
      </c>
      <c r="F313">
        <v>1</v>
      </c>
      <c r="G313" t="s">
        <v>71</v>
      </c>
      <c r="H313">
        <v>3</v>
      </c>
      <c r="I313">
        <v>55</v>
      </c>
      <c r="J313">
        <v>40332.193500000001</v>
      </c>
      <c r="K313" t="s">
        <v>74</v>
      </c>
      <c r="L313" t="str">
        <f>_xlfn.XLOOKUP(tblCategorySales[[#This Row],[SalesPersonID]],tblSalespersonSummary[SalesPersonID],tblSalespersonSummary[SalespersonName],"Not found")</f>
        <v>Amy Alberts</v>
      </c>
      <c r="M313" t="str">
        <f>IF(tblCategorySales[[#This Row],[SalespersonName]]=tblCategorySales[[#This Row],[ExpectedSalespersonName]],"Match","Mismatch")</f>
        <v>Match</v>
      </c>
    </row>
    <row r="314" spans="1:13" x14ac:dyDescent="0.3">
      <c r="A314">
        <v>287</v>
      </c>
      <c r="B314" t="s">
        <v>42</v>
      </c>
      <c r="C314" t="s">
        <v>33</v>
      </c>
      <c r="D314">
        <v>2013</v>
      </c>
      <c r="E314">
        <v>1</v>
      </c>
      <c r="F314">
        <v>3</v>
      </c>
      <c r="G314" t="s">
        <v>72</v>
      </c>
      <c r="H314">
        <v>2</v>
      </c>
      <c r="I314">
        <v>28</v>
      </c>
      <c r="J314">
        <v>845.71969999999999</v>
      </c>
      <c r="K314" t="s">
        <v>74</v>
      </c>
      <c r="L314" t="str">
        <f>_xlfn.XLOOKUP(tblCategorySales[[#This Row],[SalesPersonID]],tblSalespersonSummary[SalesPersonID],tblSalespersonSummary[SalespersonName],"Not found")</f>
        <v>Amy Alberts</v>
      </c>
      <c r="M314" t="str">
        <f>IF(tblCategorySales[[#This Row],[SalespersonName]]=tblCategorySales[[#This Row],[ExpectedSalespersonName]],"Match","Mismatch")</f>
        <v>Match</v>
      </c>
    </row>
    <row r="315" spans="1:13" x14ac:dyDescent="0.3">
      <c r="A315">
        <v>287</v>
      </c>
      <c r="B315" t="s">
        <v>42</v>
      </c>
      <c r="C315" t="s">
        <v>33</v>
      </c>
      <c r="D315">
        <v>2013</v>
      </c>
      <c r="E315">
        <v>1</v>
      </c>
      <c r="F315">
        <v>2</v>
      </c>
      <c r="G315" t="s">
        <v>73</v>
      </c>
      <c r="H315">
        <v>1</v>
      </c>
      <c r="I315">
        <v>19</v>
      </c>
      <c r="J315">
        <v>3933.4580999999998</v>
      </c>
      <c r="K315" t="s">
        <v>74</v>
      </c>
      <c r="L315" t="str">
        <f>_xlfn.XLOOKUP(tblCategorySales[[#This Row],[SalesPersonID]],tblSalespersonSummary[SalesPersonID],tblSalespersonSummary[SalespersonName],"Not found")</f>
        <v>Amy Alberts</v>
      </c>
      <c r="M315" t="str">
        <f>IF(tblCategorySales[[#This Row],[SalespersonName]]=tblCategorySales[[#This Row],[ExpectedSalespersonName]],"Match","Mismatch")</f>
        <v>Match</v>
      </c>
    </row>
    <row r="316" spans="1:13" x14ac:dyDescent="0.3">
      <c r="A316">
        <v>283</v>
      </c>
      <c r="B316" t="s">
        <v>15</v>
      </c>
      <c r="C316" t="s">
        <v>16</v>
      </c>
      <c r="D316">
        <v>2013</v>
      </c>
      <c r="E316">
        <v>1</v>
      </c>
      <c r="F316">
        <v>4</v>
      </c>
      <c r="G316" t="s">
        <v>70</v>
      </c>
      <c r="H316">
        <v>3</v>
      </c>
      <c r="I316">
        <v>48</v>
      </c>
      <c r="J316">
        <v>872.29300000000001</v>
      </c>
      <c r="K316" t="s">
        <v>74</v>
      </c>
      <c r="L316" t="str">
        <f>_xlfn.XLOOKUP(tblCategorySales[[#This Row],[SalesPersonID]],tblSalespersonSummary[SalesPersonID],tblSalespersonSummary[SalespersonName],"Not found")</f>
        <v>David Campbell</v>
      </c>
      <c r="M316" t="str">
        <f>IF(tblCategorySales[[#This Row],[SalespersonName]]=tblCategorySales[[#This Row],[ExpectedSalespersonName]],"Match","Mismatch")</f>
        <v>Match</v>
      </c>
    </row>
    <row r="317" spans="1:13" x14ac:dyDescent="0.3">
      <c r="A317">
        <v>283</v>
      </c>
      <c r="B317" t="s">
        <v>15</v>
      </c>
      <c r="C317" t="s">
        <v>16</v>
      </c>
      <c r="D317">
        <v>2013</v>
      </c>
      <c r="E317">
        <v>1</v>
      </c>
      <c r="F317">
        <v>1</v>
      </c>
      <c r="G317" t="s">
        <v>71</v>
      </c>
      <c r="H317">
        <v>8</v>
      </c>
      <c r="I317">
        <v>266</v>
      </c>
      <c r="J317">
        <v>213986.94589199999</v>
      </c>
      <c r="K317" t="s">
        <v>74</v>
      </c>
      <c r="L317" t="str">
        <f>_xlfn.XLOOKUP(tblCategorySales[[#This Row],[SalesPersonID]],tblSalespersonSummary[SalesPersonID],tblSalespersonSummary[SalespersonName],"Not found")</f>
        <v>David Campbell</v>
      </c>
      <c r="M317" t="str">
        <f>IF(tblCategorySales[[#This Row],[SalespersonName]]=tblCategorySales[[#This Row],[ExpectedSalespersonName]],"Match","Mismatch")</f>
        <v>Match</v>
      </c>
    </row>
    <row r="318" spans="1:13" x14ac:dyDescent="0.3">
      <c r="A318">
        <v>283</v>
      </c>
      <c r="B318" t="s">
        <v>15</v>
      </c>
      <c r="C318" t="s">
        <v>16</v>
      </c>
      <c r="D318">
        <v>2013</v>
      </c>
      <c r="E318">
        <v>1</v>
      </c>
      <c r="F318">
        <v>3</v>
      </c>
      <c r="G318" t="s">
        <v>72</v>
      </c>
      <c r="H318">
        <v>10</v>
      </c>
      <c r="I318">
        <v>239</v>
      </c>
      <c r="J318">
        <v>7039.8048570000001</v>
      </c>
      <c r="K318" t="s">
        <v>74</v>
      </c>
      <c r="L318" t="str">
        <f>_xlfn.XLOOKUP(tblCategorySales[[#This Row],[SalesPersonID]],tblSalespersonSummary[SalesPersonID],tblSalespersonSummary[SalespersonName],"Not found")</f>
        <v>David Campbell</v>
      </c>
      <c r="M318" t="str">
        <f>IF(tblCategorySales[[#This Row],[SalespersonName]]=tblCategorySales[[#This Row],[ExpectedSalespersonName]],"Match","Mismatch")</f>
        <v>Match</v>
      </c>
    </row>
    <row r="319" spans="1:13" x14ac:dyDescent="0.3">
      <c r="A319">
        <v>283</v>
      </c>
      <c r="B319" t="s">
        <v>15</v>
      </c>
      <c r="C319" t="s">
        <v>16</v>
      </c>
      <c r="D319">
        <v>2013</v>
      </c>
      <c r="E319">
        <v>1</v>
      </c>
      <c r="F319">
        <v>2</v>
      </c>
      <c r="G319" t="s">
        <v>73</v>
      </c>
      <c r="H319">
        <v>9</v>
      </c>
      <c r="I319">
        <v>189</v>
      </c>
      <c r="J319">
        <v>44174.101631999998</v>
      </c>
      <c r="K319" t="s">
        <v>74</v>
      </c>
      <c r="L319" t="str">
        <f>_xlfn.XLOOKUP(tblCategorySales[[#This Row],[SalesPersonID]],tblSalespersonSummary[SalesPersonID],tblSalespersonSummary[SalespersonName],"Not found")</f>
        <v>David Campbell</v>
      </c>
      <c r="M319" t="str">
        <f>IF(tblCategorySales[[#This Row],[SalespersonName]]=tblCategorySales[[#This Row],[ExpectedSalespersonName]],"Match","Mismatch")</f>
        <v>Match</v>
      </c>
    </row>
    <row r="320" spans="1:13" x14ac:dyDescent="0.3">
      <c r="A320">
        <v>278</v>
      </c>
      <c r="B320" t="s">
        <v>21</v>
      </c>
      <c r="C320" t="s">
        <v>22</v>
      </c>
      <c r="D320">
        <v>2013</v>
      </c>
      <c r="E320">
        <v>1</v>
      </c>
      <c r="F320">
        <v>4</v>
      </c>
      <c r="G320" t="s">
        <v>70</v>
      </c>
      <c r="H320">
        <v>6</v>
      </c>
      <c r="I320">
        <v>108</v>
      </c>
      <c r="J320">
        <v>1931.7484360000001</v>
      </c>
      <c r="K320" t="s">
        <v>74</v>
      </c>
      <c r="L320" t="str">
        <f>_xlfn.XLOOKUP(tblCategorySales[[#This Row],[SalesPersonID]],tblSalespersonSummary[SalesPersonID],tblSalespersonSummary[SalespersonName],"Not found")</f>
        <v>Garrett Vargas</v>
      </c>
      <c r="M320" t="str">
        <f>IF(tblCategorySales[[#This Row],[SalespersonName]]=tblCategorySales[[#This Row],[ExpectedSalespersonName]],"Match","Mismatch")</f>
        <v>Match</v>
      </c>
    </row>
    <row r="321" spans="1:13" x14ac:dyDescent="0.3">
      <c r="A321">
        <v>278</v>
      </c>
      <c r="B321" t="s">
        <v>21</v>
      </c>
      <c r="C321" t="s">
        <v>22</v>
      </c>
      <c r="D321">
        <v>2013</v>
      </c>
      <c r="E321">
        <v>1</v>
      </c>
      <c r="F321">
        <v>1</v>
      </c>
      <c r="G321" t="s">
        <v>71</v>
      </c>
      <c r="H321">
        <v>16</v>
      </c>
      <c r="I321">
        <v>357</v>
      </c>
      <c r="J321">
        <v>242724.76115899999</v>
      </c>
      <c r="K321" t="s">
        <v>74</v>
      </c>
      <c r="L321" t="str">
        <f>_xlfn.XLOOKUP(tblCategorySales[[#This Row],[SalesPersonID]],tblSalespersonSummary[SalesPersonID],tblSalespersonSummary[SalespersonName],"Not found")</f>
        <v>Garrett Vargas</v>
      </c>
      <c r="M321" t="str">
        <f>IF(tblCategorySales[[#This Row],[SalespersonName]]=tblCategorySales[[#This Row],[ExpectedSalespersonName]],"Match","Mismatch")</f>
        <v>Match</v>
      </c>
    </row>
    <row r="322" spans="1:13" x14ac:dyDescent="0.3">
      <c r="A322">
        <v>278</v>
      </c>
      <c r="B322" t="s">
        <v>21</v>
      </c>
      <c r="C322" t="s">
        <v>22</v>
      </c>
      <c r="D322">
        <v>2013</v>
      </c>
      <c r="E322">
        <v>1</v>
      </c>
      <c r="F322">
        <v>3</v>
      </c>
      <c r="G322" t="s">
        <v>72</v>
      </c>
      <c r="H322">
        <v>13</v>
      </c>
      <c r="I322">
        <v>403</v>
      </c>
      <c r="J322">
        <v>12755.886956</v>
      </c>
      <c r="K322" t="s">
        <v>74</v>
      </c>
      <c r="L322" t="str">
        <f>_xlfn.XLOOKUP(tblCategorySales[[#This Row],[SalesPersonID]],tblSalespersonSummary[SalesPersonID],tblSalespersonSummary[SalespersonName],"Not found")</f>
        <v>Garrett Vargas</v>
      </c>
      <c r="M322" t="str">
        <f>IF(tblCategorySales[[#This Row],[SalespersonName]]=tblCategorySales[[#This Row],[ExpectedSalespersonName]],"Match","Mismatch")</f>
        <v>Match</v>
      </c>
    </row>
    <row r="323" spans="1:13" x14ac:dyDescent="0.3">
      <c r="A323">
        <v>278</v>
      </c>
      <c r="B323" t="s">
        <v>21</v>
      </c>
      <c r="C323" t="s">
        <v>22</v>
      </c>
      <c r="D323">
        <v>2013</v>
      </c>
      <c r="E323">
        <v>1</v>
      </c>
      <c r="F323">
        <v>2</v>
      </c>
      <c r="G323" t="s">
        <v>73</v>
      </c>
      <c r="H323">
        <v>15</v>
      </c>
      <c r="I323">
        <v>145</v>
      </c>
      <c r="J323">
        <v>33920.759299999998</v>
      </c>
      <c r="K323" t="s">
        <v>74</v>
      </c>
      <c r="L323" t="str">
        <f>_xlfn.XLOOKUP(tblCategorySales[[#This Row],[SalesPersonID]],tblSalespersonSummary[SalesPersonID],tblSalespersonSummary[SalespersonName],"Not found")</f>
        <v>Garrett Vargas</v>
      </c>
      <c r="M323" t="str">
        <f>IF(tblCategorySales[[#This Row],[SalespersonName]]=tblCategorySales[[#This Row],[ExpectedSalespersonName]],"Match","Mismatch")</f>
        <v>Match</v>
      </c>
    </row>
    <row r="324" spans="1:13" x14ac:dyDescent="0.3">
      <c r="A324">
        <v>289</v>
      </c>
      <c r="B324" t="s">
        <v>44</v>
      </c>
      <c r="C324" t="s">
        <v>45</v>
      </c>
      <c r="D324">
        <v>2013</v>
      </c>
      <c r="E324">
        <v>1</v>
      </c>
      <c r="F324">
        <v>4</v>
      </c>
      <c r="G324" t="s">
        <v>70</v>
      </c>
      <c r="H324">
        <v>15</v>
      </c>
      <c r="I324">
        <v>215</v>
      </c>
      <c r="J324">
        <v>3853.0813899999998</v>
      </c>
      <c r="K324" t="s">
        <v>74</v>
      </c>
      <c r="L324" t="str">
        <f>_xlfn.XLOOKUP(tblCategorySales[[#This Row],[SalesPersonID]],tblSalespersonSummary[SalesPersonID],tblSalespersonSummary[SalespersonName],"Not found")</f>
        <v>Jae Pak</v>
      </c>
      <c r="M324" t="str">
        <f>IF(tblCategorySales[[#This Row],[SalespersonName]]=tblCategorySales[[#This Row],[ExpectedSalespersonName]],"Match","Mismatch")</f>
        <v>Match</v>
      </c>
    </row>
    <row r="325" spans="1:13" x14ac:dyDescent="0.3">
      <c r="A325">
        <v>289</v>
      </c>
      <c r="B325" t="s">
        <v>44</v>
      </c>
      <c r="C325" t="s">
        <v>45</v>
      </c>
      <c r="D325">
        <v>2013</v>
      </c>
      <c r="E325">
        <v>1</v>
      </c>
      <c r="F325">
        <v>1</v>
      </c>
      <c r="G325" t="s">
        <v>71</v>
      </c>
      <c r="H325">
        <v>36</v>
      </c>
      <c r="I325">
        <v>992</v>
      </c>
      <c r="J325">
        <v>836829.35211800004</v>
      </c>
      <c r="K325" t="s">
        <v>74</v>
      </c>
      <c r="L325" t="str">
        <f>_xlfn.XLOOKUP(tblCategorySales[[#This Row],[SalesPersonID]],tblSalespersonSummary[SalesPersonID],tblSalespersonSummary[SalespersonName],"Not found")</f>
        <v>Jae Pak</v>
      </c>
      <c r="M325" t="str">
        <f>IF(tblCategorySales[[#This Row],[SalespersonName]]=tblCategorySales[[#This Row],[ExpectedSalespersonName]],"Match","Mismatch")</f>
        <v>Match</v>
      </c>
    </row>
    <row r="326" spans="1:13" x14ac:dyDescent="0.3">
      <c r="A326">
        <v>289</v>
      </c>
      <c r="B326" t="s">
        <v>44</v>
      </c>
      <c r="C326" t="s">
        <v>45</v>
      </c>
      <c r="D326">
        <v>2013</v>
      </c>
      <c r="E326">
        <v>1</v>
      </c>
      <c r="F326">
        <v>3</v>
      </c>
      <c r="G326" t="s">
        <v>72</v>
      </c>
      <c r="H326">
        <v>33</v>
      </c>
      <c r="I326">
        <v>839</v>
      </c>
      <c r="J326">
        <v>24248.448339999999</v>
      </c>
      <c r="K326" t="s">
        <v>74</v>
      </c>
      <c r="L326" t="str">
        <f>_xlfn.XLOOKUP(tblCategorySales[[#This Row],[SalesPersonID]],tblSalespersonSummary[SalesPersonID],tblSalespersonSummary[SalespersonName],"Not found")</f>
        <v>Jae Pak</v>
      </c>
      <c r="M326" t="str">
        <f>IF(tblCategorySales[[#This Row],[SalespersonName]]=tblCategorySales[[#This Row],[ExpectedSalespersonName]],"Match","Mismatch")</f>
        <v>Match</v>
      </c>
    </row>
    <row r="327" spans="1:13" x14ac:dyDescent="0.3">
      <c r="A327">
        <v>289</v>
      </c>
      <c r="B327" t="s">
        <v>44</v>
      </c>
      <c r="C327" t="s">
        <v>45</v>
      </c>
      <c r="D327">
        <v>2013</v>
      </c>
      <c r="E327">
        <v>1</v>
      </c>
      <c r="F327">
        <v>2</v>
      </c>
      <c r="G327" t="s">
        <v>73</v>
      </c>
      <c r="H327">
        <v>21</v>
      </c>
      <c r="I327">
        <v>570</v>
      </c>
      <c r="J327">
        <v>144496.40850799999</v>
      </c>
      <c r="K327" t="s">
        <v>74</v>
      </c>
      <c r="L327" t="str">
        <f>_xlfn.XLOOKUP(tblCategorySales[[#This Row],[SalesPersonID]],tblSalespersonSummary[SalesPersonID],tblSalespersonSummary[SalespersonName],"Not found")</f>
        <v>Jae Pak</v>
      </c>
      <c r="M327" t="str">
        <f>IF(tblCategorySales[[#This Row],[SalespersonName]]=tblCategorySales[[#This Row],[ExpectedSalespersonName]],"Match","Mismatch")</f>
        <v>Match</v>
      </c>
    </row>
    <row r="328" spans="1:13" x14ac:dyDescent="0.3">
      <c r="A328">
        <v>277</v>
      </c>
      <c r="B328" t="s">
        <v>23</v>
      </c>
      <c r="C328" t="s">
        <v>24</v>
      </c>
      <c r="D328">
        <v>2013</v>
      </c>
      <c r="E328">
        <v>1</v>
      </c>
      <c r="F328">
        <v>4</v>
      </c>
      <c r="G328" t="s">
        <v>70</v>
      </c>
      <c r="H328">
        <v>14</v>
      </c>
      <c r="I328">
        <v>231</v>
      </c>
      <c r="J328">
        <v>4126.1311240000005</v>
      </c>
      <c r="K328" t="s">
        <v>74</v>
      </c>
      <c r="L328" t="str">
        <f>_xlfn.XLOOKUP(tblCategorySales[[#This Row],[SalesPersonID]],tblSalespersonSummary[SalesPersonID],tblSalespersonSummary[SalespersonName],"Not found")</f>
        <v>Jillian Carson</v>
      </c>
      <c r="M328" t="str">
        <f>IF(tblCategorySales[[#This Row],[SalespersonName]]=tblCategorySales[[#This Row],[ExpectedSalespersonName]],"Match","Mismatch")</f>
        <v>Match</v>
      </c>
    </row>
    <row r="329" spans="1:13" x14ac:dyDescent="0.3">
      <c r="A329">
        <v>277</v>
      </c>
      <c r="B329" t="s">
        <v>23</v>
      </c>
      <c r="C329" t="s">
        <v>24</v>
      </c>
      <c r="D329">
        <v>2013</v>
      </c>
      <c r="E329">
        <v>1</v>
      </c>
      <c r="F329">
        <v>1</v>
      </c>
      <c r="G329" t="s">
        <v>71</v>
      </c>
      <c r="H329">
        <v>36</v>
      </c>
      <c r="I329">
        <v>1021</v>
      </c>
      <c r="J329">
        <v>808128.18895099999</v>
      </c>
      <c r="K329" t="s">
        <v>74</v>
      </c>
      <c r="L329" t="str">
        <f>_xlfn.XLOOKUP(tblCategorySales[[#This Row],[SalesPersonID]],tblSalespersonSummary[SalesPersonID],tblSalespersonSummary[SalespersonName],"Not found")</f>
        <v>Jillian Carson</v>
      </c>
      <c r="M329" t="str">
        <f>IF(tblCategorySales[[#This Row],[SalespersonName]]=tblCategorySales[[#This Row],[ExpectedSalespersonName]],"Match","Mismatch")</f>
        <v>Match</v>
      </c>
    </row>
    <row r="330" spans="1:13" x14ac:dyDescent="0.3">
      <c r="A330">
        <v>277</v>
      </c>
      <c r="B330" t="s">
        <v>23</v>
      </c>
      <c r="C330" t="s">
        <v>24</v>
      </c>
      <c r="D330">
        <v>2013</v>
      </c>
      <c r="E330">
        <v>1</v>
      </c>
      <c r="F330">
        <v>3</v>
      </c>
      <c r="G330" t="s">
        <v>72</v>
      </c>
      <c r="H330">
        <v>27</v>
      </c>
      <c r="I330">
        <v>772</v>
      </c>
      <c r="J330">
        <v>23030.637127999998</v>
      </c>
      <c r="K330" t="s">
        <v>74</v>
      </c>
      <c r="L330" t="str">
        <f>_xlfn.XLOOKUP(tblCategorySales[[#This Row],[SalesPersonID]],tblSalespersonSummary[SalesPersonID],tblSalespersonSummary[SalespersonName],"Not found")</f>
        <v>Jillian Carson</v>
      </c>
      <c r="M330" t="str">
        <f>IF(tblCategorySales[[#This Row],[SalespersonName]]=tblCategorySales[[#This Row],[ExpectedSalespersonName]],"Match","Mismatch")</f>
        <v>Match</v>
      </c>
    </row>
    <row r="331" spans="1:13" x14ac:dyDescent="0.3">
      <c r="A331">
        <v>277</v>
      </c>
      <c r="B331" t="s">
        <v>23</v>
      </c>
      <c r="C331" t="s">
        <v>24</v>
      </c>
      <c r="D331">
        <v>2013</v>
      </c>
      <c r="E331">
        <v>1</v>
      </c>
      <c r="F331">
        <v>2</v>
      </c>
      <c r="G331" t="s">
        <v>73</v>
      </c>
      <c r="H331">
        <v>33</v>
      </c>
      <c r="I331">
        <v>570</v>
      </c>
      <c r="J331">
        <v>135100.4381</v>
      </c>
      <c r="K331" t="s">
        <v>74</v>
      </c>
      <c r="L331" t="str">
        <f>_xlfn.XLOOKUP(tblCategorySales[[#This Row],[SalesPersonID]],tblSalespersonSummary[SalesPersonID],tblSalespersonSummary[SalespersonName],"Not found")</f>
        <v>Jillian Carson</v>
      </c>
      <c r="M331" t="str">
        <f>IF(tblCategorySales[[#This Row],[SalespersonName]]=tblCategorySales[[#This Row],[ExpectedSalespersonName]],"Match","Mismatch")</f>
        <v>Match</v>
      </c>
    </row>
    <row r="332" spans="1:13" x14ac:dyDescent="0.3">
      <c r="A332">
        <v>282</v>
      </c>
      <c r="B332" t="s">
        <v>25</v>
      </c>
      <c r="C332" t="s">
        <v>22</v>
      </c>
      <c r="D332">
        <v>2013</v>
      </c>
      <c r="E332">
        <v>1</v>
      </c>
      <c r="F332">
        <v>4</v>
      </c>
      <c r="G332" t="s">
        <v>70</v>
      </c>
      <c r="H332">
        <v>5</v>
      </c>
      <c r="I332">
        <v>81</v>
      </c>
      <c r="J332">
        <v>1420.0817959999999</v>
      </c>
      <c r="K332" t="s">
        <v>74</v>
      </c>
      <c r="L332" t="str">
        <f>_xlfn.XLOOKUP(tblCategorySales[[#This Row],[SalesPersonID]],tblSalespersonSummary[SalesPersonID],tblSalespersonSummary[SalespersonName],"Not found")</f>
        <v>José Saraiva</v>
      </c>
      <c r="M332" t="str">
        <f>IF(tblCategorySales[[#This Row],[SalespersonName]]=tblCategorySales[[#This Row],[ExpectedSalespersonName]],"Match","Mismatch")</f>
        <v>Match</v>
      </c>
    </row>
    <row r="333" spans="1:13" x14ac:dyDescent="0.3">
      <c r="A333">
        <v>282</v>
      </c>
      <c r="B333" t="s">
        <v>25</v>
      </c>
      <c r="C333" t="s">
        <v>22</v>
      </c>
      <c r="D333">
        <v>2013</v>
      </c>
      <c r="E333">
        <v>1</v>
      </c>
      <c r="F333">
        <v>1</v>
      </c>
      <c r="G333" t="s">
        <v>71</v>
      </c>
      <c r="H333">
        <v>12</v>
      </c>
      <c r="I333">
        <v>229</v>
      </c>
      <c r="J333">
        <v>187470.526992</v>
      </c>
      <c r="K333" t="s">
        <v>74</v>
      </c>
      <c r="L333" t="str">
        <f>_xlfn.XLOOKUP(tblCategorySales[[#This Row],[SalesPersonID]],tblSalespersonSummary[SalesPersonID],tblSalespersonSummary[SalespersonName],"Not found")</f>
        <v>José Saraiva</v>
      </c>
      <c r="M333" t="str">
        <f>IF(tblCategorySales[[#This Row],[SalespersonName]]=tblCategorySales[[#This Row],[ExpectedSalespersonName]],"Match","Mismatch")</f>
        <v>Match</v>
      </c>
    </row>
    <row r="334" spans="1:13" x14ac:dyDescent="0.3">
      <c r="A334">
        <v>282</v>
      </c>
      <c r="B334" t="s">
        <v>25</v>
      </c>
      <c r="C334" t="s">
        <v>22</v>
      </c>
      <c r="D334">
        <v>2013</v>
      </c>
      <c r="E334">
        <v>1</v>
      </c>
      <c r="F334">
        <v>3</v>
      </c>
      <c r="G334" t="s">
        <v>72</v>
      </c>
      <c r="H334">
        <v>11</v>
      </c>
      <c r="I334">
        <v>266</v>
      </c>
      <c r="J334">
        <v>8090.2012160000004</v>
      </c>
      <c r="K334" t="s">
        <v>74</v>
      </c>
      <c r="L334" t="str">
        <f>_xlfn.XLOOKUP(tblCategorySales[[#This Row],[SalesPersonID]],tblSalespersonSummary[SalesPersonID],tblSalespersonSummary[SalespersonName],"Not found")</f>
        <v>José Saraiva</v>
      </c>
      <c r="M334" t="str">
        <f>IF(tblCategorySales[[#This Row],[SalespersonName]]=tblCategorySales[[#This Row],[ExpectedSalespersonName]],"Match","Mismatch")</f>
        <v>Match</v>
      </c>
    </row>
    <row r="335" spans="1:13" x14ac:dyDescent="0.3">
      <c r="A335">
        <v>282</v>
      </c>
      <c r="B335" t="s">
        <v>25</v>
      </c>
      <c r="C335" t="s">
        <v>22</v>
      </c>
      <c r="D335">
        <v>2013</v>
      </c>
      <c r="E335">
        <v>1</v>
      </c>
      <c r="F335">
        <v>2</v>
      </c>
      <c r="G335" t="s">
        <v>73</v>
      </c>
      <c r="H335">
        <v>7</v>
      </c>
      <c r="I335">
        <v>168</v>
      </c>
      <c r="J335">
        <v>35010.119400000003</v>
      </c>
      <c r="K335" t="s">
        <v>74</v>
      </c>
      <c r="L335" t="str">
        <f>_xlfn.XLOOKUP(tblCategorySales[[#This Row],[SalesPersonID]],tblSalespersonSummary[SalesPersonID],tblSalespersonSummary[SalespersonName],"Not found")</f>
        <v>José Saraiva</v>
      </c>
      <c r="M335" t="str">
        <f>IF(tblCategorySales[[#This Row],[SalespersonName]]=tblCategorySales[[#This Row],[ExpectedSalespersonName]],"Match","Mismatch")</f>
        <v>Match</v>
      </c>
    </row>
    <row r="336" spans="1:13" x14ac:dyDescent="0.3">
      <c r="A336">
        <v>276</v>
      </c>
      <c r="B336" t="s">
        <v>26</v>
      </c>
      <c r="C336" t="s">
        <v>27</v>
      </c>
      <c r="D336">
        <v>2013</v>
      </c>
      <c r="E336">
        <v>1</v>
      </c>
      <c r="F336">
        <v>4</v>
      </c>
      <c r="G336" t="s">
        <v>70</v>
      </c>
      <c r="H336">
        <v>13</v>
      </c>
      <c r="I336">
        <v>268</v>
      </c>
      <c r="J336">
        <v>4694.527384</v>
      </c>
      <c r="K336" t="s">
        <v>74</v>
      </c>
      <c r="L336" t="str">
        <f>_xlfn.XLOOKUP(tblCategorySales[[#This Row],[SalesPersonID]],tblSalespersonSummary[SalesPersonID],tblSalespersonSummary[SalespersonName],"Not found")</f>
        <v>Linda Mitchell</v>
      </c>
      <c r="M336" t="str">
        <f>IF(tblCategorySales[[#This Row],[SalespersonName]]=tblCategorySales[[#This Row],[ExpectedSalespersonName]],"Match","Mismatch")</f>
        <v>Match</v>
      </c>
    </row>
    <row r="337" spans="1:13" x14ac:dyDescent="0.3">
      <c r="A337">
        <v>276</v>
      </c>
      <c r="B337" t="s">
        <v>26</v>
      </c>
      <c r="C337" t="s">
        <v>27</v>
      </c>
      <c r="D337">
        <v>2013</v>
      </c>
      <c r="E337">
        <v>1</v>
      </c>
      <c r="F337">
        <v>1</v>
      </c>
      <c r="G337" t="s">
        <v>71</v>
      </c>
      <c r="H337">
        <v>31</v>
      </c>
      <c r="I337">
        <v>848</v>
      </c>
      <c r="J337">
        <v>704448.54597600002</v>
      </c>
      <c r="K337" t="s">
        <v>74</v>
      </c>
      <c r="L337" t="str">
        <f>_xlfn.XLOOKUP(tblCategorySales[[#This Row],[SalesPersonID]],tblSalespersonSummary[SalesPersonID],tblSalespersonSummary[SalespersonName],"Not found")</f>
        <v>Linda Mitchell</v>
      </c>
      <c r="M337" t="str">
        <f>IF(tblCategorySales[[#This Row],[SalespersonName]]=tblCategorySales[[#This Row],[ExpectedSalespersonName]],"Match","Mismatch")</f>
        <v>Match</v>
      </c>
    </row>
    <row r="338" spans="1:13" x14ac:dyDescent="0.3">
      <c r="A338">
        <v>276</v>
      </c>
      <c r="B338" t="s">
        <v>26</v>
      </c>
      <c r="C338" t="s">
        <v>27</v>
      </c>
      <c r="D338">
        <v>2013</v>
      </c>
      <c r="E338">
        <v>1</v>
      </c>
      <c r="F338">
        <v>3</v>
      </c>
      <c r="G338" t="s">
        <v>72</v>
      </c>
      <c r="H338">
        <v>22</v>
      </c>
      <c r="I338">
        <v>815</v>
      </c>
      <c r="J338">
        <v>24442.228556999999</v>
      </c>
      <c r="K338" t="s">
        <v>74</v>
      </c>
      <c r="L338" t="str">
        <f>_xlfn.XLOOKUP(tblCategorySales[[#This Row],[SalesPersonID]],tblSalespersonSummary[SalesPersonID],tblSalespersonSummary[SalespersonName],"Not found")</f>
        <v>Linda Mitchell</v>
      </c>
      <c r="M338" t="str">
        <f>IF(tblCategorySales[[#This Row],[SalespersonName]]=tblCategorySales[[#This Row],[ExpectedSalespersonName]],"Match","Mismatch")</f>
        <v>Match</v>
      </c>
    </row>
    <row r="339" spans="1:13" x14ac:dyDescent="0.3">
      <c r="A339">
        <v>276</v>
      </c>
      <c r="B339" t="s">
        <v>26</v>
      </c>
      <c r="C339" t="s">
        <v>27</v>
      </c>
      <c r="D339">
        <v>2013</v>
      </c>
      <c r="E339">
        <v>1</v>
      </c>
      <c r="F339">
        <v>2</v>
      </c>
      <c r="G339" t="s">
        <v>73</v>
      </c>
      <c r="H339">
        <v>32</v>
      </c>
      <c r="I339">
        <v>556</v>
      </c>
      <c r="J339">
        <v>134267.7236</v>
      </c>
      <c r="K339" t="s">
        <v>74</v>
      </c>
      <c r="L339" t="str">
        <f>_xlfn.XLOOKUP(tblCategorySales[[#This Row],[SalesPersonID]],tblSalespersonSummary[SalesPersonID],tblSalespersonSummary[SalespersonName],"Not found")</f>
        <v>Linda Mitchell</v>
      </c>
      <c r="M339" t="str">
        <f>IF(tblCategorySales[[#This Row],[SalespersonName]]=tblCategorySales[[#This Row],[ExpectedSalespersonName]],"Match","Mismatch")</f>
        <v>Match</v>
      </c>
    </row>
    <row r="340" spans="1:13" x14ac:dyDescent="0.3">
      <c r="A340">
        <v>275</v>
      </c>
      <c r="B340" t="s">
        <v>28</v>
      </c>
      <c r="C340" t="s">
        <v>29</v>
      </c>
      <c r="D340">
        <v>2013</v>
      </c>
      <c r="E340">
        <v>1</v>
      </c>
      <c r="F340">
        <v>4</v>
      </c>
      <c r="G340" t="s">
        <v>70</v>
      </c>
      <c r="H340">
        <v>14</v>
      </c>
      <c r="I340">
        <v>171</v>
      </c>
      <c r="J340">
        <v>3054.5532750000002</v>
      </c>
      <c r="K340" t="s">
        <v>74</v>
      </c>
      <c r="L340" t="str">
        <f>_xlfn.XLOOKUP(tblCategorySales[[#This Row],[SalesPersonID]],tblSalespersonSummary[SalesPersonID],tblSalespersonSummary[SalespersonName],"Not found")</f>
        <v>Michael Blythe</v>
      </c>
      <c r="M340" t="str">
        <f>IF(tblCategorySales[[#This Row],[SalespersonName]]=tblCategorySales[[#This Row],[ExpectedSalespersonName]],"Match","Mismatch")</f>
        <v>Match</v>
      </c>
    </row>
    <row r="341" spans="1:13" x14ac:dyDescent="0.3">
      <c r="A341">
        <v>275</v>
      </c>
      <c r="B341" t="s">
        <v>28</v>
      </c>
      <c r="C341" t="s">
        <v>29</v>
      </c>
      <c r="D341">
        <v>2013</v>
      </c>
      <c r="E341">
        <v>1</v>
      </c>
      <c r="F341">
        <v>1</v>
      </c>
      <c r="G341" t="s">
        <v>71</v>
      </c>
      <c r="H341">
        <v>31</v>
      </c>
      <c r="I341">
        <v>987</v>
      </c>
      <c r="J341">
        <v>805276.551951</v>
      </c>
      <c r="K341" t="s">
        <v>74</v>
      </c>
      <c r="L341" t="str">
        <f>_xlfn.XLOOKUP(tblCategorySales[[#This Row],[SalesPersonID]],tblSalespersonSummary[SalesPersonID],tblSalespersonSummary[SalespersonName],"Not found")</f>
        <v>Michael Blythe</v>
      </c>
      <c r="M341" t="str">
        <f>IF(tblCategorySales[[#This Row],[SalespersonName]]=tblCategorySales[[#This Row],[ExpectedSalespersonName]],"Match","Mismatch")</f>
        <v>Match</v>
      </c>
    </row>
    <row r="342" spans="1:13" x14ac:dyDescent="0.3">
      <c r="A342">
        <v>275</v>
      </c>
      <c r="B342" t="s">
        <v>28</v>
      </c>
      <c r="C342" t="s">
        <v>29</v>
      </c>
      <c r="D342">
        <v>2013</v>
      </c>
      <c r="E342">
        <v>1</v>
      </c>
      <c r="F342">
        <v>3</v>
      </c>
      <c r="G342" t="s">
        <v>72</v>
      </c>
      <c r="H342">
        <v>29</v>
      </c>
      <c r="I342">
        <v>505</v>
      </c>
      <c r="J342">
        <v>14932.855001</v>
      </c>
      <c r="K342" t="s">
        <v>74</v>
      </c>
      <c r="L342" t="str">
        <f>_xlfn.XLOOKUP(tblCategorySales[[#This Row],[SalesPersonID]],tblSalespersonSummary[SalesPersonID],tblSalespersonSummary[SalespersonName],"Not found")</f>
        <v>Michael Blythe</v>
      </c>
      <c r="M342" t="str">
        <f>IF(tblCategorySales[[#This Row],[SalespersonName]]=tblCategorySales[[#This Row],[ExpectedSalespersonName]],"Match","Mismatch")</f>
        <v>Match</v>
      </c>
    </row>
    <row r="343" spans="1:13" x14ac:dyDescent="0.3">
      <c r="A343">
        <v>275</v>
      </c>
      <c r="B343" t="s">
        <v>28</v>
      </c>
      <c r="C343" t="s">
        <v>29</v>
      </c>
      <c r="D343">
        <v>2013</v>
      </c>
      <c r="E343">
        <v>1</v>
      </c>
      <c r="F343">
        <v>2</v>
      </c>
      <c r="G343" t="s">
        <v>73</v>
      </c>
      <c r="H343">
        <v>24</v>
      </c>
      <c r="I343">
        <v>516</v>
      </c>
      <c r="J343">
        <v>128591.7896</v>
      </c>
      <c r="K343" t="s">
        <v>74</v>
      </c>
      <c r="L343" t="str">
        <f>_xlfn.XLOOKUP(tblCategorySales[[#This Row],[SalesPersonID]],tblSalespersonSummary[SalesPersonID],tblSalespersonSummary[SalespersonName],"Not found")</f>
        <v>Michael Blythe</v>
      </c>
      <c r="M343" t="str">
        <f>IF(tblCategorySales[[#This Row],[SalespersonName]]=tblCategorySales[[#This Row],[ExpectedSalespersonName]],"Match","Mismatch")</f>
        <v>Match</v>
      </c>
    </row>
    <row r="344" spans="1:13" x14ac:dyDescent="0.3">
      <c r="A344">
        <v>280</v>
      </c>
      <c r="B344" t="s">
        <v>30</v>
      </c>
      <c r="C344" t="s">
        <v>16</v>
      </c>
      <c r="D344">
        <v>2013</v>
      </c>
      <c r="E344">
        <v>1</v>
      </c>
      <c r="F344">
        <v>4</v>
      </c>
      <c r="G344" t="s">
        <v>70</v>
      </c>
      <c r="H344">
        <v>2</v>
      </c>
      <c r="I344">
        <v>34</v>
      </c>
      <c r="J344">
        <v>585.85050000000001</v>
      </c>
      <c r="K344" t="s">
        <v>74</v>
      </c>
      <c r="L344" t="str">
        <f>_xlfn.XLOOKUP(tblCategorySales[[#This Row],[SalesPersonID]],tblSalespersonSummary[SalesPersonID],tblSalespersonSummary[SalespersonName],"Not found")</f>
        <v>Pamela Ansman-Wolfe</v>
      </c>
      <c r="M344" t="str">
        <f>IF(tblCategorySales[[#This Row],[SalespersonName]]=tblCategorySales[[#This Row],[ExpectedSalespersonName]],"Match","Mismatch")</f>
        <v>Match</v>
      </c>
    </row>
    <row r="345" spans="1:13" x14ac:dyDescent="0.3">
      <c r="A345">
        <v>280</v>
      </c>
      <c r="B345" t="s">
        <v>30</v>
      </c>
      <c r="C345" t="s">
        <v>16</v>
      </c>
      <c r="D345">
        <v>2013</v>
      </c>
      <c r="E345">
        <v>1</v>
      </c>
      <c r="F345">
        <v>1</v>
      </c>
      <c r="G345" t="s">
        <v>71</v>
      </c>
      <c r="H345">
        <v>2</v>
      </c>
      <c r="I345">
        <v>66</v>
      </c>
      <c r="J345">
        <v>58887.503076000001</v>
      </c>
      <c r="K345" t="s">
        <v>74</v>
      </c>
      <c r="L345" t="str">
        <f>_xlfn.XLOOKUP(tblCategorySales[[#This Row],[SalesPersonID]],tblSalespersonSummary[SalesPersonID],tblSalespersonSummary[SalespersonName],"Not found")</f>
        <v>Pamela Ansman-Wolfe</v>
      </c>
      <c r="M345" t="str">
        <f>IF(tblCategorySales[[#This Row],[SalespersonName]]=tblCategorySales[[#This Row],[ExpectedSalespersonName]],"Match","Mismatch")</f>
        <v>Match</v>
      </c>
    </row>
    <row r="346" spans="1:13" x14ac:dyDescent="0.3">
      <c r="A346">
        <v>280</v>
      </c>
      <c r="B346" t="s">
        <v>30</v>
      </c>
      <c r="C346" t="s">
        <v>16</v>
      </c>
      <c r="D346">
        <v>2013</v>
      </c>
      <c r="E346">
        <v>1</v>
      </c>
      <c r="F346">
        <v>3</v>
      </c>
      <c r="G346" t="s">
        <v>72</v>
      </c>
      <c r="H346">
        <v>2</v>
      </c>
      <c r="I346">
        <v>131</v>
      </c>
      <c r="J346">
        <v>3535.9019239999998</v>
      </c>
      <c r="K346" t="s">
        <v>74</v>
      </c>
      <c r="L346" t="str">
        <f>_xlfn.XLOOKUP(tblCategorySales[[#This Row],[SalesPersonID]],tblSalespersonSummary[SalesPersonID],tblSalespersonSummary[SalespersonName],"Not found")</f>
        <v>Pamela Ansman-Wolfe</v>
      </c>
      <c r="M346" t="str">
        <f>IF(tblCategorySales[[#This Row],[SalespersonName]]=tblCategorySales[[#This Row],[ExpectedSalespersonName]],"Match","Mismatch")</f>
        <v>Match</v>
      </c>
    </row>
    <row r="347" spans="1:13" x14ac:dyDescent="0.3">
      <c r="A347">
        <v>280</v>
      </c>
      <c r="B347" t="s">
        <v>30</v>
      </c>
      <c r="C347" t="s">
        <v>16</v>
      </c>
      <c r="D347">
        <v>2013</v>
      </c>
      <c r="E347">
        <v>1</v>
      </c>
      <c r="F347">
        <v>2</v>
      </c>
      <c r="G347" t="s">
        <v>73</v>
      </c>
      <c r="H347">
        <v>3</v>
      </c>
      <c r="I347">
        <v>78</v>
      </c>
      <c r="J347">
        <v>20570.4938</v>
      </c>
      <c r="K347" t="s">
        <v>74</v>
      </c>
      <c r="L347" t="str">
        <f>_xlfn.XLOOKUP(tblCategorySales[[#This Row],[SalesPersonID]],tblSalespersonSummary[SalesPersonID],tblSalespersonSummary[SalespersonName],"Not found")</f>
        <v>Pamela Ansman-Wolfe</v>
      </c>
      <c r="M347" t="str">
        <f>IF(tblCategorySales[[#This Row],[SalespersonName]]=tblCategorySales[[#This Row],[ExpectedSalespersonName]],"Match","Mismatch")</f>
        <v>Match</v>
      </c>
    </row>
    <row r="348" spans="1:13" x14ac:dyDescent="0.3">
      <c r="A348">
        <v>290</v>
      </c>
      <c r="B348" t="s">
        <v>46</v>
      </c>
      <c r="C348" t="s">
        <v>47</v>
      </c>
      <c r="D348">
        <v>2013</v>
      </c>
      <c r="E348">
        <v>1</v>
      </c>
      <c r="F348">
        <v>4</v>
      </c>
      <c r="G348" t="s">
        <v>70</v>
      </c>
      <c r="H348">
        <v>7</v>
      </c>
      <c r="I348">
        <v>95</v>
      </c>
      <c r="J348">
        <v>1576.2004360000001</v>
      </c>
      <c r="K348" t="s">
        <v>74</v>
      </c>
      <c r="L348" t="str">
        <f>_xlfn.XLOOKUP(tblCategorySales[[#This Row],[SalesPersonID]],tblSalespersonSummary[SalesPersonID],tblSalespersonSummary[SalespersonName],"Not found")</f>
        <v>Ranjit Varkey Chudukatil</v>
      </c>
      <c r="M348" t="str">
        <f>IF(tblCategorySales[[#This Row],[SalespersonName]]=tblCategorySales[[#This Row],[ExpectedSalespersonName]],"Match","Mismatch")</f>
        <v>Match</v>
      </c>
    </row>
    <row r="349" spans="1:13" x14ac:dyDescent="0.3">
      <c r="A349">
        <v>290</v>
      </c>
      <c r="B349" t="s">
        <v>46</v>
      </c>
      <c r="C349" t="s">
        <v>47</v>
      </c>
      <c r="D349">
        <v>2013</v>
      </c>
      <c r="E349">
        <v>1</v>
      </c>
      <c r="F349">
        <v>1</v>
      </c>
      <c r="G349" t="s">
        <v>71</v>
      </c>
      <c r="H349">
        <v>12</v>
      </c>
      <c r="I349">
        <v>291</v>
      </c>
      <c r="J349">
        <v>234646.48439999999</v>
      </c>
      <c r="K349" t="s">
        <v>74</v>
      </c>
      <c r="L349" t="str">
        <f>_xlfn.XLOOKUP(tblCategorySales[[#This Row],[SalesPersonID]],tblSalespersonSummary[SalesPersonID],tblSalespersonSummary[SalespersonName],"Not found")</f>
        <v>Ranjit Varkey Chudukatil</v>
      </c>
      <c r="M349" t="str">
        <f>IF(tblCategorySales[[#This Row],[SalespersonName]]=tblCategorySales[[#This Row],[ExpectedSalespersonName]],"Match","Mismatch")</f>
        <v>Match</v>
      </c>
    </row>
    <row r="350" spans="1:13" x14ac:dyDescent="0.3">
      <c r="A350">
        <v>290</v>
      </c>
      <c r="B350" t="s">
        <v>46</v>
      </c>
      <c r="C350" t="s">
        <v>47</v>
      </c>
      <c r="D350">
        <v>2013</v>
      </c>
      <c r="E350">
        <v>1</v>
      </c>
      <c r="F350">
        <v>3</v>
      </c>
      <c r="G350" t="s">
        <v>72</v>
      </c>
      <c r="H350">
        <v>13</v>
      </c>
      <c r="I350">
        <v>336</v>
      </c>
      <c r="J350">
        <v>10478.115143999999</v>
      </c>
      <c r="K350" t="s">
        <v>74</v>
      </c>
      <c r="L350" t="str">
        <f>_xlfn.XLOOKUP(tblCategorySales[[#This Row],[SalesPersonID]],tblSalespersonSummary[SalesPersonID],tblSalespersonSummary[SalespersonName],"Not found")</f>
        <v>Ranjit Varkey Chudukatil</v>
      </c>
      <c r="M350" t="str">
        <f>IF(tblCategorySales[[#This Row],[SalespersonName]]=tblCategorySales[[#This Row],[ExpectedSalespersonName]],"Match","Mismatch")</f>
        <v>Match</v>
      </c>
    </row>
    <row r="351" spans="1:13" x14ac:dyDescent="0.3">
      <c r="A351">
        <v>290</v>
      </c>
      <c r="B351" t="s">
        <v>46</v>
      </c>
      <c r="C351" t="s">
        <v>47</v>
      </c>
      <c r="D351">
        <v>2013</v>
      </c>
      <c r="E351">
        <v>1</v>
      </c>
      <c r="F351">
        <v>2</v>
      </c>
      <c r="G351" t="s">
        <v>73</v>
      </c>
      <c r="H351">
        <v>11</v>
      </c>
      <c r="I351">
        <v>217</v>
      </c>
      <c r="J351">
        <v>58223.824399999998</v>
      </c>
      <c r="K351" t="s">
        <v>74</v>
      </c>
      <c r="L351" t="str">
        <f>_xlfn.XLOOKUP(tblCategorySales[[#This Row],[SalesPersonID]],tblSalespersonSummary[SalesPersonID],tblSalespersonSummary[SalespersonName],"Not found")</f>
        <v>Ranjit Varkey Chudukatil</v>
      </c>
      <c r="M351" t="str">
        <f>IF(tblCategorySales[[#This Row],[SalespersonName]]=tblCategorySales[[#This Row],[ExpectedSalespersonName]],"Match","Mismatch")</f>
        <v>Match</v>
      </c>
    </row>
    <row r="352" spans="1:13" x14ac:dyDescent="0.3">
      <c r="A352">
        <v>281</v>
      </c>
      <c r="B352" t="s">
        <v>31</v>
      </c>
      <c r="C352" t="s">
        <v>27</v>
      </c>
      <c r="D352">
        <v>2013</v>
      </c>
      <c r="E352">
        <v>1</v>
      </c>
      <c r="F352">
        <v>4</v>
      </c>
      <c r="G352" t="s">
        <v>70</v>
      </c>
      <c r="H352">
        <v>6</v>
      </c>
      <c r="I352">
        <v>48</v>
      </c>
      <c r="J352">
        <v>878.30499999999995</v>
      </c>
      <c r="K352" t="s">
        <v>74</v>
      </c>
      <c r="L352" t="str">
        <f>_xlfn.XLOOKUP(tblCategorySales[[#This Row],[SalesPersonID]],tblSalespersonSummary[SalesPersonID],tblSalespersonSummary[SalespersonName],"Not found")</f>
        <v>Shu Ito</v>
      </c>
      <c r="M352" t="str">
        <f>IF(tblCategorySales[[#This Row],[SalespersonName]]=tblCategorySales[[#This Row],[ExpectedSalespersonName]],"Match","Mismatch")</f>
        <v>Match</v>
      </c>
    </row>
    <row r="353" spans="1:13" x14ac:dyDescent="0.3">
      <c r="A353">
        <v>281</v>
      </c>
      <c r="B353" t="s">
        <v>31</v>
      </c>
      <c r="C353" t="s">
        <v>27</v>
      </c>
      <c r="D353">
        <v>2013</v>
      </c>
      <c r="E353">
        <v>1</v>
      </c>
      <c r="F353">
        <v>1</v>
      </c>
      <c r="G353" t="s">
        <v>71</v>
      </c>
      <c r="H353">
        <v>18</v>
      </c>
      <c r="I353">
        <v>506</v>
      </c>
      <c r="J353">
        <v>402663.47492399998</v>
      </c>
      <c r="K353" t="s">
        <v>74</v>
      </c>
      <c r="L353" t="str">
        <f>_xlfn.XLOOKUP(tblCategorySales[[#This Row],[SalesPersonID]],tblSalespersonSummary[SalesPersonID],tblSalespersonSummary[SalespersonName],"Not found")</f>
        <v>Shu Ito</v>
      </c>
      <c r="M353" t="str">
        <f>IF(tblCategorySales[[#This Row],[SalespersonName]]=tblCategorySales[[#This Row],[ExpectedSalespersonName]],"Match","Mismatch")</f>
        <v>Match</v>
      </c>
    </row>
    <row r="354" spans="1:13" x14ac:dyDescent="0.3">
      <c r="A354">
        <v>281</v>
      </c>
      <c r="B354" t="s">
        <v>31</v>
      </c>
      <c r="C354" t="s">
        <v>27</v>
      </c>
      <c r="D354">
        <v>2013</v>
      </c>
      <c r="E354">
        <v>1</v>
      </c>
      <c r="F354">
        <v>3</v>
      </c>
      <c r="G354" t="s">
        <v>72</v>
      </c>
      <c r="H354">
        <v>13</v>
      </c>
      <c r="I354">
        <v>240</v>
      </c>
      <c r="J354">
        <v>6432.9887120000003</v>
      </c>
      <c r="K354" t="s">
        <v>74</v>
      </c>
      <c r="L354" t="str">
        <f>_xlfn.XLOOKUP(tblCategorySales[[#This Row],[SalesPersonID]],tblSalespersonSummary[SalesPersonID],tblSalespersonSummary[SalespersonName],"Not found")</f>
        <v>Shu Ito</v>
      </c>
      <c r="M354" t="str">
        <f>IF(tblCategorySales[[#This Row],[SalespersonName]]=tblCategorySales[[#This Row],[ExpectedSalespersonName]],"Match","Mismatch")</f>
        <v>Match</v>
      </c>
    </row>
    <row r="355" spans="1:13" x14ac:dyDescent="0.3">
      <c r="A355">
        <v>281</v>
      </c>
      <c r="B355" t="s">
        <v>31</v>
      </c>
      <c r="C355" t="s">
        <v>27</v>
      </c>
      <c r="D355">
        <v>2013</v>
      </c>
      <c r="E355">
        <v>1</v>
      </c>
      <c r="F355">
        <v>2</v>
      </c>
      <c r="G355" t="s">
        <v>73</v>
      </c>
      <c r="H355">
        <v>15</v>
      </c>
      <c r="I355">
        <v>251</v>
      </c>
      <c r="J355">
        <v>58632.094299999997</v>
      </c>
      <c r="K355" t="s">
        <v>74</v>
      </c>
      <c r="L355" t="str">
        <f>_xlfn.XLOOKUP(tblCategorySales[[#This Row],[SalesPersonID]],tblSalespersonSummary[SalesPersonID],tblSalespersonSummary[SalespersonName],"Not found")</f>
        <v>Shu Ito</v>
      </c>
      <c r="M355" t="str">
        <f>IF(tblCategorySales[[#This Row],[SalespersonName]]=tblCategorySales[[#This Row],[ExpectedSalespersonName]],"Match","Mismatch")</f>
        <v>Match</v>
      </c>
    </row>
    <row r="356" spans="1:13" x14ac:dyDescent="0.3">
      <c r="A356">
        <v>274</v>
      </c>
      <c r="B356" t="s">
        <v>32</v>
      </c>
      <c r="C356" t="s">
        <v>33</v>
      </c>
      <c r="D356">
        <v>2013</v>
      </c>
      <c r="E356">
        <v>1</v>
      </c>
      <c r="F356">
        <v>4</v>
      </c>
      <c r="G356" t="s">
        <v>70</v>
      </c>
      <c r="H356">
        <v>1</v>
      </c>
      <c r="I356">
        <v>30</v>
      </c>
      <c r="J356">
        <v>558.29127500000004</v>
      </c>
      <c r="K356" t="s">
        <v>74</v>
      </c>
      <c r="L356" t="str">
        <f>_xlfn.XLOOKUP(tblCategorySales[[#This Row],[SalesPersonID]],tblSalespersonSummary[SalesPersonID],tblSalespersonSummary[SalespersonName],"Not found")</f>
        <v>Stephen Jiang</v>
      </c>
      <c r="M356" t="str">
        <f>IF(tblCategorySales[[#This Row],[SalespersonName]]=tblCategorySales[[#This Row],[ExpectedSalespersonName]],"Match","Mismatch")</f>
        <v>Match</v>
      </c>
    </row>
    <row r="357" spans="1:13" x14ac:dyDescent="0.3">
      <c r="A357">
        <v>274</v>
      </c>
      <c r="B357" t="s">
        <v>32</v>
      </c>
      <c r="C357" t="s">
        <v>33</v>
      </c>
      <c r="D357">
        <v>2013</v>
      </c>
      <c r="E357">
        <v>1</v>
      </c>
      <c r="F357">
        <v>1</v>
      </c>
      <c r="G357" t="s">
        <v>71</v>
      </c>
      <c r="H357">
        <v>3</v>
      </c>
      <c r="I357">
        <v>67</v>
      </c>
      <c r="J357">
        <v>39434.605174999997</v>
      </c>
      <c r="K357" t="s">
        <v>74</v>
      </c>
      <c r="L357" t="str">
        <f>_xlfn.XLOOKUP(tblCategorySales[[#This Row],[SalesPersonID]],tblSalespersonSummary[SalesPersonID],tblSalespersonSummary[SalespersonName],"Not found")</f>
        <v>Stephen Jiang</v>
      </c>
      <c r="M357" t="str">
        <f>IF(tblCategorySales[[#This Row],[SalespersonName]]=tblCategorySales[[#This Row],[ExpectedSalespersonName]],"Match","Mismatch")</f>
        <v>Match</v>
      </c>
    </row>
    <row r="358" spans="1:13" x14ac:dyDescent="0.3">
      <c r="A358">
        <v>274</v>
      </c>
      <c r="B358" t="s">
        <v>32</v>
      </c>
      <c r="C358" t="s">
        <v>33</v>
      </c>
      <c r="D358">
        <v>2013</v>
      </c>
      <c r="E358">
        <v>1</v>
      </c>
      <c r="F358">
        <v>3</v>
      </c>
      <c r="G358" t="s">
        <v>72</v>
      </c>
      <c r="H358">
        <v>2</v>
      </c>
      <c r="I358">
        <v>83</v>
      </c>
      <c r="J358">
        <v>2841.0311000000002</v>
      </c>
      <c r="K358" t="s">
        <v>74</v>
      </c>
      <c r="L358" t="str">
        <f>_xlfn.XLOOKUP(tblCategorySales[[#This Row],[SalesPersonID]],tblSalespersonSummary[SalesPersonID],tblSalespersonSummary[SalespersonName],"Not found")</f>
        <v>Stephen Jiang</v>
      </c>
      <c r="M358" t="str">
        <f>IF(tblCategorySales[[#This Row],[SalespersonName]]=tblCategorySales[[#This Row],[ExpectedSalespersonName]],"Match","Mismatch")</f>
        <v>Match</v>
      </c>
    </row>
    <row r="359" spans="1:13" x14ac:dyDescent="0.3">
      <c r="A359">
        <v>274</v>
      </c>
      <c r="B359" t="s">
        <v>32</v>
      </c>
      <c r="C359" t="s">
        <v>33</v>
      </c>
      <c r="D359">
        <v>2013</v>
      </c>
      <c r="E359">
        <v>1</v>
      </c>
      <c r="F359">
        <v>2</v>
      </c>
      <c r="G359" t="s">
        <v>73</v>
      </c>
      <c r="H359">
        <v>2</v>
      </c>
      <c r="I359">
        <v>28</v>
      </c>
      <c r="J359">
        <v>5675.5847999999996</v>
      </c>
      <c r="K359" t="s">
        <v>74</v>
      </c>
      <c r="L359" t="str">
        <f>_xlfn.XLOOKUP(tblCategorySales[[#This Row],[SalesPersonID]],tblSalespersonSummary[SalesPersonID],tblSalespersonSummary[SalespersonName],"Not found")</f>
        <v>Stephen Jiang</v>
      </c>
      <c r="M359" t="str">
        <f>IF(tblCategorySales[[#This Row],[SalespersonName]]=tblCategorySales[[#This Row],[ExpectedSalespersonName]],"Match","Mismatch")</f>
        <v>Match</v>
      </c>
    </row>
    <row r="360" spans="1:13" x14ac:dyDescent="0.3">
      <c r="A360">
        <v>284</v>
      </c>
      <c r="B360" t="s">
        <v>50</v>
      </c>
      <c r="C360" t="s">
        <v>16</v>
      </c>
      <c r="D360">
        <v>2013</v>
      </c>
      <c r="E360">
        <v>1</v>
      </c>
      <c r="F360">
        <v>4</v>
      </c>
      <c r="G360" t="s">
        <v>70</v>
      </c>
      <c r="H360">
        <v>4</v>
      </c>
      <c r="I360">
        <v>76</v>
      </c>
      <c r="J360">
        <v>1390.6860919999999</v>
      </c>
      <c r="K360" t="s">
        <v>74</v>
      </c>
      <c r="L360" t="str">
        <f>_xlfn.XLOOKUP(tblCategorySales[[#This Row],[SalesPersonID]],tblSalespersonSummary[SalesPersonID],tblSalespersonSummary[SalespersonName],"Not found")</f>
        <v>Tete Mensa-Annan</v>
      </c>
      <c r="M360" t="str">
        <f>IF(tblCategorySales[[#This Row],[SalespersonName]]=tblCategorySales[[#This Row],[ExpectedSalespersonName]],"Match","Mismatch")</f>
        <v>Match</v>
      </c>
    </row>
    <row r="361" spans="1:13" x14ac:dyDescent="0.3">
      <c r="A361">
        <v>284</v>
      </c>
      <c r="B361" t="s">
        <v>50</v>
      </c>
      <c r="C361" t="s">
        <v>16</v>
      </c>
      <c r="D361">
        <v>2013</v>
      </c>
      <c r="E361">
        <v>1</v>
      </c>
      <c r="F361">
        <v>1</v>
      </c>
      <c r="G361" t="s">
        <v>71</v>
      </c>
      <c r="H361">
        <v>12</v>
      </c>
      <c r="I361">
        <v>274</v>
      </c>
      <c r="J361">
        <v>213878.47</v>
      </c>
      <c r="K361" t="s">
        <v>74</v>
      </c>
      <c r="L361" t="str">
        <f>_xlfn.XLOOKUP(tblCategorySales[[#This Row],[SalesPersonID]],tblSalespersonSummary[SalesPersonID],tblSalespersonSummary[SalespersonName],"Not found")</f>
        <v>Tete Mensa-Annan</v>
      </c>
      <c r="M361" t="str">
        <f>IF(tblCategorySales[[#This Row],[SalespersonName]]=tblCategorySales[[#This Row],[ExpectedSalespersonName]],"Match","Mismatch")</f>
        <v>Match</v>
      </c>
    </row>
    <row r="362" spans="1:13" x14ac:dyDescent="0.3">
      <c r="A362">
        <v>284</v>
      </c>
      <c r="B362" t="s">
        <v>50</v>
      </c>
      <c r="C362" t="s">
        <v>16</v>
      </c>
      <c r="D362">
        <v>2013</v>
      </c>
      <c r="E362">
        <v>1</v>
      </c>
      <c r="F362">
        <v>3</v>
      </c>
      <c r="G362" t="s">
        <v>72</v>
      </c>
      <c r="H362">
        <v>10</v>
      </c>
      <c r="I362">
        <v>236</v>
      </c>
      <c r="J362">
        <v>7844.1528120000003</v>
      </c>
      <c r="K362" t="s">
        <v>74</v>
      </c>
      <c r="L362" t="str">
        <f>_xlfn.XLOOKUP(tblCategorySales[[#This Row],[SalesPersonID]],tblSalespersonSummary[SalesPersonID],tblSalespersonSummary[SalespersonName],"Not found")</f>
        <v>Tete Mensa-Annan</v>
      </c>
      <c r="M362" t="str">
        <f>IF(tblCategorySales[[#This Row],[SalespersonName]]=tblCategorySales[[#This Row],[ExpectedSalespersonName]],"Match","Mismatch")</f>
        <v>Match</v>
      </c>
    </row>
    <row r="363" spans="1:13" x14ac:dyDescent="0.3">
      <c r="A363">
        <v>284</v>
      </c>
      <c r="B363" t="s">
        <v>50</v>
      </c>
      <c r="C363" t="s">
        <v>16</v>
      </c>
      <c r="D363">
        <v>2013</v>
      </c>
      <c r="E363">
        <v>1</v>
      </c>
      <c r="F363">
        <v>2</v>
      </c>
      <c r="G363" t="s">
        <v>73</v>
      </c>
      <c r="H363">
        <v>9</v>
      </c>
      <c r="I363">
        <v>147</v>
      </c>
      <c r="J363">
        <v>35750.985699999997</v>
      </c>
      <c r="K363" t="s">
        <v>74</v>
      </c>
      <c r="L363" t="str">
        <f>_xlfn.XLOOKUP(tblCategorySales[[#This Row],[SalesPersonID]],tblSalespersonSummary[SalesPersonID],tblSalespersonSummary[SalespersonName],"Not found")</f>
        <v>Tete Mensa-Annan</v>
      </c>
      <c r="M363" t="str">
        <f>IF(tblCategorySales[[#This Row],[SalespersonName]]=tblCategorySales[[#This Row],[ExpectedSalespersonName]],"Match","Mismatch")</f>
        <v>Match</v>
      </c>
    </row>
    <row r="364" spans="1:13" x14ac:dyDescent="0.3">
      <c r="A364">
        <v>279</v>
      </c>
      <c r="B364" t="s">
        <v>34</v>
      </c>
      <c r="C364" t="s">
        <v>35</v>
      </c>
      <c r="D364">
        <v>2013</v>
      </c>
      <c r="E364">
        <v>1</v>
      </c>
      <c r="F364">
        <v>4</v>
      </c>
      <c r="G364" t="s">
        <v>70</v>
      </c>
      <c r="H364">
        <v>9</v>
      </c>
      <c r="I364">
        <v>114</v>
      </c>
      <c r="J364">
        <v>2068.1351079999999</v>
      </c>
      <c r="K364" t="s">
        <v>74</v>
      </c>
      <c r="L364" t="str">
        <f>_xlfn.XLOOKUP(tblCategorySales[[#This Row],[SalesPersonID]],tblSalespersonSummary[SalesPersonID],tblSalespersonSummary[SalespersonName],"Not found")</f>
        <v>Tsvi Reiter</v>
      </c>
      <c r="M364" t="str">
        <f>IF(tblCategorySales[[#This Row],[SalespersonName]]=tblCategorySales[[#This Row],[ExpectedSalespersonName]],"Match","Mismatch")</f>
        <v>Match</v>
      </c>
    </row>
    <row r="365" spans="1:13" x14ac:dyDescent="0.3">
      <c r="A365">
        <v>279</v>
      </c>
      <c r="B365" t="s">
        <v>34</v>
      </c>
      <c r="C365" t="s">
        <v>35</v>
      </c>
      <c r="D365">
        <v>2013</v>
      </c>
      <c r="E365">
        <v>1</v>
      </c>
      <c r="F365">
        <v>1</v>
      </c>
      <c r="G365" t="s">
        <v>71</v>
      </c>
      <c r="H365">
        <v>27</v>
      </c>
      <c r="I365">
        <v>526</v>
      </c>
      <c r="J365">
        <v>427855.21980800002</v>
      </c>
      <c r="K365" t="s">
        <v>74</v>
      </c>
      <c r="L365" t="str">
        <f>_xlfn.XLOOKUP(tblCategorySales[[#This Row],[SalesPersonID]],tblSalespersonSummary[SalesPersonID],tblSalespersonSummary[SalespersonName],"Not found")</f>
        <v>Tsvi Reiter</v>
      </c>
      <c r="M365" t="str">
        <f>IF(tblCategorySales[[#This Row],[SalespersonName]]=tblCategorySales[[#This Row],[ExpectedSalespersonName]],"Match","Mismatch")</f>
        <v>Match</v>
      </c>
    </row>
    <row r="366" spans="1:13" x14ac:dyDescent="0.3">
      <c r="A366">
        <v>279</v>
      </c>
      <c r="B366" t="s">
        <v>34</v>
      </c>
      <c r="C366" t="s">
        <v>35</v>
      </c>
      <c r="D366">
        <v>2013</v>
      </c>
      <c r="E366">
        <v>1</v>
      </c>
      <c r="F366">
        <v>3</v>
      </c>
      <c r="G366" t="s">
        <v>72</v>
      </c>
      <c r="H366">
        <v>24</v>
      </c>
      <c r="I366">
        <v>538</v>
      </c>
      <c r="J366">
        <v>15855.921893999999</v>
      </c>
      <c r="K366" t="s">
        <v>74</v>
      </c>
      <c r="L366" t="str">
        <f>_xlfn.XLOOKUP(tblCategorySales[[#This Row],[SalesPersonID]],tblSalespersonSummary[SalesPersonID],tblSalespersonSummary[SalespersonName],"Not found")</f>
        <v>Tsvi Reiter</v>
      </c>
      <c r="M366" t="str">
        <f>IF(tblCategorySales[[#This Row],[SalespersonName]]=tblCategorySales[[#This Row],[ExpectedSalespersonName]],"Match","Mismatch")</f>
        <v>Match</v>
      </c>
    </row>
    <row r="367" spans="1:13" x14ac:dyDescent="0.3">
      <c r="A367">
        <v>279</v>
      </c>
      <c r="B367" t="s">
        <v>34</v>
      </c>
      <c r="C367" t="s">
        <v>35</v>
      </c>
      <c r="D367">
        <v>2013</v>
      </c>
      <c r="E367">
        <v>1</v>
      </c>
      <c r="F367">
        <v>2</v>
      </c>
      <c r="G367" t="s">
        <v>73</v>
      </c>
      <c r="H367">
        <v>26</v>
      </c>
      <c r="I367">
        <v>296</v>
      </c>
      <c r="J367">
        <v>65344.84</v>
      </c>
      <c r="K367" t="s">
        <v>74</v>
      </c>
      <c r="L367" t="str">
        <f>_xlfn.XLOOKUP(tblCategorySales[[#This Row],[SalesPersonID]],tblSalespersonSummary[SalesPersonID],tblSalespersonSummary[SalespersonName],"Not found")</f>
        <v>Tsvi Reiter</v>
      </c>
      <c r="M367" t="str">
        <f>IF(tblCategorySales[[#This Row],[SalespersonName]]=tblCategorySales[[#This Row],[ExpectedSalespersonName]],"Match","Mismatch")</f>
        <v>Match</v>
      </c>
    </row>
    <row r="368" spans="1:13" x14ac:dyDescent="0.3">
      <c r="A368">
        <v>287</v>
      </c>
      <c r="B368" t="s">
        <v>42</v>
      </c>
      <c r="C368" t="s">
        <v>33</v>
      </c>
      <c r="D368">
        <v>2013</v>
      </c>
      <c r="E368">
        <v>2</v>
      </c>
      <c r="F368">
        <v>4</v>
      </c>
      <c r="G368" t="s">
        <v>70</v>
      </c>
      <c r="H368">
        <v>3</v>
      </c>
      <c r="I368">
        <v>126</v>
      </c>
      <c r="J368">
        <v>3108.0811399999998</v>
      </c>
      <c r="K368" t="s">
        <v>74</v>
      </c>
      <c r="L368" t="str">
        <f>_xlfn.XLOOKUP(tblCategorySales[[#This Row],[SalesPersonID]],tblSalespersonSummary[SalesPersonID],tblSalespersonSummary[SalespersonName],"Not found")</f>
        <v>Amy Alberts</v>
      </c>
      <c r="M368" t="str">
        <f>IF(tblCategorySales[[#This Row],[SalespersonName]]=tblCategorySales[[#This Row],[ExpectedSalespersonName]],"Match","Mismatch")</f>
        <v>Match</v>
      </c>
    </row>
    <row r="369" spans="1:13" x14ac:dyDescent="0.3">
      <c r="A369">
        <v>287</v>
      </c>
      <c r="B369" t="s">
        <v>42</v>
      </c>
      <c r="C369" t="s">
        <v>33</v>
      </c>
      <c r="D369">
        <v>2013</v>
      </c>
      <c r="E369">
        <v>2</v>
      </c>
      <c r="F369">
        <v>1</v>
      </c>
      <c r="G369" t="s">
        <v>71</v>
      </c>
      <c r="H369">
        <v>7</v>
      </c>
      <c r="I369">
        <v>164</v>
      </c>
      <c r="J369">
        <v>124509.68769399999</v>
      </c>
      <c r="K369" t="s">
        <v>74</v>
      </c>
      <c r="L369" t="str">
        <f>_xlfn.XLOOKUP(tblCategorySales[[#This Row],[SalesPersonID]],tblSalespersonSummary[SalesPersonID],tblSalespersonSummary[SalespersonName],"Not found")</f>
        <v>Amy Alberts</v>
      </c>
      <c r="M369" t="str">
        <f>IF(tblCategorySales[[#This Row],[SalespersonName]]=tblCategorySales[[#This Row],[ExpectedSalespersonName]],"Match","Mismatch")</f>
        <v>Match</v>
      </c>
    </row>
    <row r="370" spans="1:13" x14ac:dyDescent="0.3">
      <c r="A370">
        <v>287</v>
      </c>
      <c r="B370" t="s">
        <v>42</v>
      </c>
      <c r="C370" t="s">
        <v>33</v>
      </c>
      <c r="D370">
        <v>2013</v>
      </c>
      <c r="E370">
        <v>2</v>
      </c>
      <c r="F370">
        <v>3</v>
      </c>
      <c r="G370" t="s">
        <v>72</v>
      </c>
      <c r="H370">
        <v>5</v>
      </c>
      <c r="I370">
        <v>188</v>
      </c>
      <c r="J370">
        <v>4985.832735</v>
      </c>
      <c r="K370" t="s">
        <v>74</v>
      </c>
      <c r="L370" t="str">
        <f>_xlfn.XLOOKUP(tblCategorySales[[#This Row],[SalesPersonID]],tblSalespersonSummary[SalesPersonID],tblSalespersonSummary[SalespersonName],"Not found")</f>
        <v>Amy Alberts</v>
      </c>
      <c r="M370" t="str">
        <f>IF(tblCategorySales[[#This Row],[SalespersonName]]=tblCategorySales[[#This Row],[ExpectedSalespersonName]],"Match","Mismatch")</f>
        <v>Match</v>
      </c>
    </row>
    <row r="371" spans="1:13" x14ac:dyDescent="0.3">
      <c r="A371">
        <v>287</v>
      </c>
      <c r="B371" t="s">
        <v>42</v>
      </c>
      <c r="C371" t="s">
        <v>33</v>
      </c>
      <c r="D371">
        <v>2013</v>
      </c>
      <c r="E371">
        <v>2</v>
      </c>
      <c r="F371">
        <v>2</v>
      </c>
      <c r="G371" t="s">
        <v>73</v>
      </c>
      <c r="H371">
        <v>7</v>
      </c>
      <c r="I371">
        <v>93</v>
      </c>
      <c r="J371">
        <v>28600.051299999999</v>
      </c>
      <c r="K371" t="s">
        <v>74</v>
      </c>
      <c r="L371" t="str">
        <f>_xlfn.XLOOKUP(tblCategorySales[[#This Row],[SalesPersonID]],tblSalespersonSummary[SalesPersonID],tblSalespersonSummary[SalespersonName],"Not found")</f>
        <v>Amy Alberts</v>
      </c>
      <c r="M371" t="str">
        <f>IF(tblCategorySales[[#This Row],[SalespersonName]]=tblCategorySales[[#This Row],[ExpectedSalespersonName]],"Match","Mismatch")</f>
        <v>Match</v>
      </c>
    </row>
    <row r="372" spans="1:13" x14ac:dyDescent="0.3">
      <c r="A372">
        <v>283</v>
      </c>
      <c r="B372" t="s">
        <v>15</v>
      </c>
      <c r="C372" t="s">
        <v>16</v>
      </c>
      <c r="D372">
        <v>2013</v>
      </c>
      <c r="E372">
        <v>2</v>
      </c>
      <c r="F372">
        <v>4</v>
      </c>
      <c r="G372" t="s">
        <v>70</v>
      </c>
      <c r="H372">
        <v>3</v>
      </c>
      <c r="I372">
        <v>100</v>
      </c>
      <c r="J372">
        <v>1856.7514590000001</v>
      </c>
      <c r="K372" t="s">
        <v>74</v>
      </c>
      <c r="L372" t="str">
        <f>_xlfn.XLOOKUP(tblCategorySales[[#This Row],[SalesPersonID]],tblSalespersonSummary[SalesPersonID],tblSalespersonSummary[SalespersonName],"Not found")</f>
        <v>David Campbell</v>
      </c>
      <c r="M372" t="str">
        <f>IF(tblCategorySales[[#This Row],[SalespersonName]]=tblCategorySales[[#This Row],[ExpectedSalespersonName]],"Match","Mismatch")</f>
        <v>Match</v>
      </c>
    </row>
    <row r="373" spans="1:13" x14ac:dyDescent="0.3">
      <c r="A373">
        <v>283</v>
      </c>
      <c r="B373" t="s">
        <v>15</v>
      </c>
      <c r="C373" t="s">
        <v>16</v>
      </c>
      <c r="D373">
        <v>2013</v>
      </c>
      <c r="E373">
        <v>2</v>
      </c>
      <c r="F373">
        <v>1</v>
      </c>
      <c r="G373" t="s">
        <v>71</v>
      </c>
      <c r="H373">
        <v>11</v>
      </c>
      <c r="I373">
        <v>287</v>
      </c>
      <c r="J373">
        <v>257611.05238400001</v>
      </c>
      <c r="K373" t="s">
        <v>74</v>
      </c>
      <c r="L373" t="str">
        <f>_xlfn.XLOOKUP(tblCategorySales[[#This Row],[SalesPersonID]],tblSalespersonSummary[SalesPersonID],tblSalespersonSummary[SalespersonName],"Not found")</f>
        <v>David Campbell</v>
      </c>
      <c r="M373" t="str">
        <f>IF(tblCategorySales[[#This Row],[SalespersonName]]=tblCategorySales[[#This Row],[ExpectedSalespersonName]],"Match","Mismatch")</f>
        <v>Match</v>
      </c>
    </row>
    <row r="374" spans="1:13" x14ac:dyDescent="0.3">
      <c r="A374">
        <v>283</v>
      </c>
      <c r="B374" t="s">
        <v>15</v>
      </c>
      <c r="C374" t="s">
        <v>16</v>
      </c>
      <c r="D374">
        <v>2013</v>
      </c>
      <c r="E374">
        <v>2</v>
      </c>
      <c r="F374">
        <v>3</v>
      </c>
      <c r="G374" t="s">
        <v>72</v>
      </c>
      <c r="H374">
        <v>6</v>
      </c>
      <c r="I374">
        <v>256</v>
      </c>
      <c r="J374">
        <v>7241.1743930000002</v>
      </c>
      <c r="K374" t="s">
        <v>74</v>
      </c>
      <c r="L374" t="str">
        <f>_xlfn.XLOOKUP(tblCategorySales[[#This Row],[SalesPersonID]],tblSalespersonSummary[SalesPersonID],tblSalespersonSummary[SalespersonName],"Not found")</f>
        <v>David Campbell</v>
      </c>
      <c r="M374" t="str">
        <f>IF(tblCategorySales[[#This Row],[SalespersonName]]=tblCategorySales[[#This Row],[ExpectedSalespersonName]],"Match","Mismatch")</f>
        <v>Match</v>
      </c>
    </row>
    <row r="375" spans="1:13" x14ac:dyDescent="0.3">
      <c r="A375">
        <v>283</v>
      </c>
      <c r="B375" t="s">
        <v>15</v>
      </c>
      <c r="C375" t="s">
        <v>16</v>
      </c>
      <c r="D375">
        <v>2013</v>
      </c>
      <c r="E375">
        <v>2</v>
      </c>
      <c r="F375">
        <v>2</v>
      </c>
      <c r="G375" t="s">
        <v>73</v>
      </c>
      <c r="H375">
        <v>8</v>
      </c>
      <c r="I375">
        <v>364</v>
      </c>
      <c r="J375">
        <v>91620.008023999995</v>
      </c>
      <c r="K375" t="s">
        <v>74</v>
      </c>
      <c r="L375" t="str">
        <f>_xlfn.XLOOKUP(tblCategorySales[[#This Row],[SalesPersonID]],tblSalespersonSummary[SalesPersonID],tblSalespersonSummary[SalespersonName],"Not found")</f>
        <v>David Campbell</v>
      </c>
      <c r="M375" t="str">
        <f>IF(tblCategorySales[[#This Row],[SalespersonName]]=tblCategorySales[[#This Row],[ExpectedSalespersonName]],"Match","Mismatch")</f>
        <v>Match</v>
      </c>
    </row>
    <row r="376" spans="1:13" x14ac:dyDescent="0.3">
      <c r="A376">
        <v>278</v>
      </c>
      <c r="B376" t="s">
        <v>21</v>
      </c>
      <c r="C376" t="s">
        <v>22</v>
      </c>
      <c r="D376">
        <v>2013</v>
      </c>
      <c r="E376">
        <v>2</v>
      </c>
      <c r="F376">
        <v>4</v>
      </c>
      <c r="G376" t="s">
        <v>70</v>
      </c>
      <c r="H376">
        <v>10</v>
      </c>
      <c r="I376">
        <v>305</v>
      </c>
      <c r="J376">
        <v>6871.6567169999998</v>
      </c>
      <c r="K376" t="s">
        <v>74</v>
      </c>
      <c r="L376" t="str">
        <f>_xlfn.XLOOKUP(tblCategorySales[[#This Row],[SalesPersonID]],tblSalespersonSummary[SalesPersonID],tblSalespersonSummary[SalespersonName],"Not found")</f>
        <v>Garrett Vargas</v>
      </c>
      <c r="M376" t="str">
        <f>IF(tblCategorySales[[#This Row],[SalespersonName]]=tblCategorySales[[#This Row],[ExpectedSalespersonName]],"Match","Mismatch")</f>
        <v>Match</v>
      </c>
    </row>
    <row r="377" spans="1:13" x14ac:dyDescent="0.3">
      <c r="A377">
        <v>278</v>
      </c>
      <c r="B377" t="s">
        <v>21</v>
      </c>
      <c r="C377" t="s">
        <v>22</v>
      </c>
      <c r="D377">
        <v>2013</v>
      </c>
      <c r="E377">
        <v>2</v>
      </c>
      <c r="F377">
        <v>1</v>
      </c>
      <c r="G377" t="s">
        <v>71</v>
      </c>
      <c r="H377">
        <v>18</v>
      </c>
      <c r="I377">
        <v>352</v>
      </c>
      <c r="J377">
        <v>273050.87376599998</v>
      </c>
      <c r="K377" t="s">
        <v>74</v>
      </c>
      <c r="L377" t="str">
        <f>_xlfn.XLOOKUP(tblCategorySales[[#This Row],[SalesPersonID]],tblSalespersonSummary[SalesPersonID],tblSalespersonSummary[SalespersonName],"Not found")</f>
        <v>Garrett Vargas</v>
      </c>
      <c r="M377" t="str">
        <f>IF(tblCategorySales[[#This Row],[SalespersonName]]=tblCategorySales[[#This Row],[ExpectedSalespersonName]],"Match","Mismatch")</f>
        <v>Match</v>
      </c>
    </row>
    <row r="378" spans="1:13" x14ac:dyDescent="0.3">
      <c r="A378">
        <v>278</v>
      </c>
      <c r="B378" t="s">
        <v>21</v>
      </c>
      <c r="C378" t="s">
        <v>22</v>
      </c>
      <c r="D378">
        <v>2013</v>
      </c>
      <c r="E378">
        <v>2</v>
      </c>
      <c r="F378">
        <v>3</v>
      </c>
      <c r="G378" t="s">
        <v>72</v>
      </c>
      <c r="H378">
        <v>16</v>
      </c>
      <c r="I378">
        <v>661</v>
      </c>
      <c r="J378">
        <v>16440.876650999999</v>
      </c>
      <c r="K378" t="s">
        <v>74</v>
      </c>
      <c r="L378" t="str">
        <f>_xlfn.XLOOKUP(tblCategorySales[[#This Row],[SalesPersonID]],tblSalespersonSummary[SalesPersonID],tblSalespersonSummary[SalespersonName],"Not found")</f>
        <v>Garrett Vargas</v>
      </c>
      <c r="M378" t="str">
        <f>IF(tblCategorySales[[#This Row],[SalespersonName]]=tblCategorySales[[#This Row],[ExpectedSalespersonName]],"Match","Mismatch")</f>
        <v>Match</v>
      </c>
    </row>
    <row r="379" spans="1:13" x14ac:dyDescent="0.3">
      <c r="A379">
        <v>278</v>
      </c>
      <c r="B379" t="s">
        <v>21</v>
      </c>
      <c r="C379" t="s">
        <v>22</v>
      </c>
      <c r="D379">
        <v>2013</v>
      </c>
      <c r="E379">
        <v>2</v>
      </c>
      <c r="F379">
        <v>2</v>
      </c>
      <c r="G379" t="s">
        <v>73</v>
      </c>
      <c r="H379">
        <v>17</v>
      </c>
      <c r="I379">
        <v>277</v>
      </c>
      <c r="J379">
        <v>71369.056500000006</v>
      </c>
      <c r="K379" t="s">
        <v>74</v>
      </c>
      <c r="L379" t="str">
        <f>_xlfn.XLOOKUP(tblCategorySales[[#This Row],[SalesPersonID]],tblSalespersonSummary[SalesPersonID],tblSalespersonSummary[SalespersonName],"Not found")</f>
        <v>Garrett Vargas</v>
      </c>
      <c r="M379" t="str">
        <f>IF(tblCategorySales[[#This Row],[SalespersonName]]=tblCategorySales[[#This Row],[ExpectedSalespersonName]],"Match","Mismatch")</f>
        <v>Match</v>
      </c>
    </row>
    <row r="380" spans="1:13" x14ac:dyDescent="0.3">
      <c r="A380">
        <v>289</v>
      </c>
      <c r="B380" t="s">
        <v>44</v>
      </c>
      <c r="C380" t="s">
        <v>45</v>
      </c>
      <c r="D380">
        <v>2013</v>
      </c>
      <c r="E380">
        <v>2</v>
      </c>
      <c r="F380">
        <v>4</v>
      </c>
      <c r="G380" t="s">
        <v>70</v>
      </c>
      <c r="H380">
        <v>19</v>
      </c>
      <c r="I380">
        <v>520</v>
      </c>
      <c r="J380">
        <v>10799.947574</v>
      </c>
      <c r="K380" t="s">
        <v>74</v>
      </c>
      <c r="L380" t="str">
        <f>_xlfn.XLOOKUP(tblCategorySales[[#This Row],[SalesPersonID]],tblSalespersonSummary[SalesPersonID],tblSalespersonSummary[SalespersonName],"Not found")</f>
        <v>Jae Pak</v>
      </c>
      <c r="M380" t="str">
        <f>IF(tblCategorySales[[#This Row],[SalespersonName]]=tblCategorySales[[#This Row],[ExpectedSalespersonName]],"Match","Mismatch")</f>
        <v>Match</v>
      </c>
    </row>
    <row r="381" spans="1:13" x14ac:dyDescent="0.3">
      <c r="A381">
        <v>289</v>
      </c>
      <c r="B381" t="s">
        <v>44</v>
      </c>
      <c r="C381" t="s">
        <v>45</v>
      </c>
      <c r="D381">
        <v>2013</v>
      </c>
      <c r="E381">
        <v>2</v>
      </c>
      <c r="F381">
        <v>1</v>
      </c>
      <c r="G381" t="s">
        <v>71</v>
      </c>
      <c r="H381">
        <v>33</v>
      </c>
      <c r="I381">
        <v>979</v>
      </c>
      <c r="J381">
        <v>815615.86357100005</v>
      </c>
      <c r="K381" t="s">
        <v>74</v>
      </c>
      <c r="L381" t="str">
        <f>_xlfn.XLOOKUP(tblCategorySales[[#This Row],[SalesPersonID]],tblSalespersonSummary[SalesPersonID],tblSalespersonSummary[SalespersonName],"Not found")</f>
        <v>Jae Pak</v>
      </c>
      <c r="M381" t="str">
        <f>IF(tblCategorySales[[#This Row],[SalespersonName]]=tblCategorySales[[#This Row],[ExpectedSalespersonName]],"Match","Mismatch")</f>
        <v>Match</v>
      </c>
    </row>
    <row r="382" spans="1:13" x14ac:dyDescent="0.3">
      <c r="A382">
        <v>289</v>
      </c>
      <c r="B382" t="s">
        <v>44</v>
      </c>
      <c r="C382" t="s">
        <v>45</v>
      </c>
      <c r="D382">
        <v>2013</v>
      </c>
      <c r="E382">
        <v>2</v>
      </c>
      <c r="F382">
        <v>3</v>
      </c>
      <c r="G382" t="s">
        <v>72</v>
      </c>
      <c r="H382">
        <v>33</v>
      </c>
      <c r="I382">
        <v>1292</v>
      </c>
      <c r="J382">
        <v>36068.739007999997</v>
      </c>
      <c r="K382" t="s">
        <v>74</v>
      </c>
      <c r="L382" t="str">
        <f>_xlfn.XLOOKUP(tblCategorySales[[#This Row],[SalesPersonID]],tblSalespersonSummary[SalesPersonID],tblSalespersonSummary[SalespersonName],"Not found")</f>
        <v>Jae Pak</v>
      </c>
      <c r="M382" t="str">
        <f>IF(tblCategorySales[[#This Row],[SalespersonName]]=tblCategorySales[[#This Row],[ExpectedSalespersonName]],"Match","Mismatch")</f>
        <v>Match</v>
      </c>
    </row>
    <row r="383" spans="1:13" x14ac:dyDescent="0.3">
      <c r="A383">
        <v>289</v>
      </c>
      <c r="B383" t="s">
        <v>44</v>
      </c>
      <c r="C383" t="s">
        <v>45</v>
      </c>
      <c r="D383">
        <v>2013</v>
      </c>
      <c r="E383">
        <v>2</v>
      </c>
      <c r="F383">
        <v>2</v>
      </c>
      <c r="G383" t="s">
        <v>73</v>
      </c>
      <c r="H383">
        <v>32</v>
      </c>
      <c r="I383">
        <v>1162</v>
      </c>
      <c r="J383">
        <v>265462.223589</v>
      </c>
      <c r="K383" t="s">
        <v>74</v>
      </c>
      <c r="L383" t="str">
        <f>_xlfn.XLOOKUP(tblCategorySales[[#This Row],[SalesPersonID]],tblSalespersonSummary[SalesPersonID],tblSalespersonSummary[SalespersonName],"Not found")</f>
        <v>Jae Pak</v>
      </c>
      <c r="M383" t="str">
        <f>IF(tblCategorySales[[#This Row],[SalespersonName]]=tblCategorySales[[#This Row],[ExpectedSalespersonName]],"Match","Mismatch")</f>
        <v>Match</v>
      </c>
    </row>
    <row r="384" spans="1:13" x14ac:dyDescent="0.3">
      <c r="A384">
        <v>277</v>
      </c>
      <c r="B384" t="s">
        <v>23</v>
      </c>
      <c r="C384" t="s">
        <v>24</v>
      </c>
      <c r="D384">
        <v>2013</v>
      </c>
      <c r="E384">
        <v>2</v>
      </c>
      <c r="F384">
        <v>4</v>
      </c>
      <c r="G384" t="s">
        <v>70</v>
      </c>
      <c r="H384">
        <v>17</v>
      </c>
      <c r="I384">
        <v>553</v>
      </c>
      <c r="J384">
        <v>10856.379664</v>
      </c>
      <c r="K384" t="s">
        <v>74</v>
      </c>
      <c r="L384" t="str">
        <f>_xlfn.XLOOKUP(tblCategorySales[[#This Row],[SalesPersonID]],tblSalespersonSummary[SalesPersonID],tblSalespersonSummary[SalespersonName],"Not found")</f>
        <v>Jillian Carson</v>
      </c>
      <c r="M384" t="str">
        <f>IF(tblCategorySales[[#This Row],[SalespersonName]]=tblCategorySales[[#This Row],[ExpectedSalespersonName]],"Match","Mismatch")</f>
        <v>Match</v>
      </c>
    </row>
    <row r="385" spans="1:13" x14ac:dyDescent="0.3">
      <c r="A385">
        <v>277</v>
      </c>
      <c r="B385" t="s">
        <v>23</v>
      </c>
      <c r="C385" t="s">
        <v>24</v>
      </c>
      <c r="D385">
        <v>2013</v>
      </c>
      <c r="E385">
        <v>2</v>
      </c>
      <c r="F385">
        <v>1</v>
      </c>
      <c r="G385" t="s">
        <v>71</v>
      </c>
      <c r="H385">
        <v>35</v>
      </c>
      <c r="I385">
        <v>840</v>
      </c>
      <c r="J385">
        <v>632209.79567300004</v>
      </c>
      <c r="K385" t="s">
        <v>74</v>
      </c>
      <c r="L385" t="str">
        <f>_xlfn.XLOOKUP(tblCategorySales[[#This Row],[SalesPersonID]],tblSalespersonSummary[SalesPersonID],tblSalespersonSummary[SalespersonName],"Not found")</f>
        <v>Jillian Carson</v>
      </c>
      <c r="M385" t="str">
        <f>IF(tblCategorySales[[#This Row],[SalespersonName]]=tblCategorySales[[#This Row],[ExpectedSalespersonName]],"Match","Mismatch")</f>
        <v>Match</v>
      </c>
    </row>
    <row r="386" spans="1:13" x14ac:dyDescent="0.3">
      <c r="A386">
        <v>277</v>
      </c>
      <c r="B386" t="s">
        <v>23</v>
      </c>
      <c r="C386" t="s">
        <v>24</v>
      </c>
      <c r="D386">
        <v>2013</v>
      </c>
      <c r="E386">
        <v>2</v>
      </c>
      <c r="F386">
        <v>3</v>
      </c>
      <c r="G386" t="s">
        <v>72</v>
      </c>
      <c r="H386">
        <v>29</v>
      </c>
      <c r="I386">
        <v>1229</v>
      </c>
      <c r="J386">
        <v>32424.133499</v>
      </c>
      <c r="K386" t="s">
        <v>74</v>
      </c>
      <c r="L386" t="str">
        <f>_xlfn.XLOOKUP(tblCategorySales[[#This Row],[SalesPersonID]],tblSalespersonSummary[SalesPersonID],tblSalespersonSummary[SalespersonName],"Not found")</f>
        <v>Jillian Carson</v>
      </c>
      <c r="M386" t="str">
        <f>IF(tblCategorySales[[#This Row],[SalespersonName]]=tblCategorySales[[#This Row],[ExpectedSalespersonName]],"Match","Mismatch")</f>
        <v>Match</v>
      </c>
    </row>
    <row r="387" spans="1:13" x14ac:dyDescent="0.3">
      <c r="A387">
        <v>277</v>
      </c>
      <c r="B387" t="s">
        <v>23</v>
      </c>
      <c r="C387" t="s">
        <v>24</v>
      </c>
      <c r="D387">
        <v>2013</v>
      </c>
      <c r="E387">
        <v>2</v>
      </c>
      <c r="F387">
        <v>2</v>
      </c>
      <c r="G387" t="s">
        <v>73</v>
      </c>
      <c r="H387">
        <v>39</v>
      </c>
      <c r="I387">
        <v>874</v>
      </c>
      <c r="J387">
        <v>208794.997428</v>
      </c>
      <c r="K387" t="s">
        <v>74</v>
      </c>
      <c r="L387" t="str">
        <f>_xlfn.XLOOKUP(tblCategorySales[[#This Row],[SalesPersonID]],tblSalespersonSummary[SalesPersonID],tblSalespersonSummary[SalespersonName],"Not found")</f>
        <v>Jillian Carson</v>
      </c>
      <c r="M387" t="str">
        <f>IF(tblCategorySales[[#This Row],[SalespersonName]]=tblCategorySales[[#This Row],[ExpectedSalespersonName]],"Match","Mismatch")</f>
        <v>Match</v>
      </c>
    </row>
    <row r="388" spans="1:13" x14ac:dyDescent="0.3">
      <c r="A388">
        <v>282</v>
      </c>
      <c r="B388" t="s">
        <v>25</v>
      </c>
      <c r="C388" t="s">
        <v>22</v>
      </c>
      <c r="D388">
        <v>2013</v>
      </c>
      <c r="E388">
        <v>2</v>
      </c>
      <c r="F388">
        <v>4</v>
      </c>
      <c r="G388" t="s">
        <v>70</v>
      </c>
      <c r="H388">
        <v>7</v>
      </c>
      <c r="I388">
        <v>287</v>
      </c>
      <c r="J388">
        <v>6498.615984</v>
      </c>
      <c r="K388" t="s">
        <v>74</v>
      </c>
      <c r="L388" t="str">
        <f>_xlfn.XLOOKUP(tblCategorySales[[#This Row],[SalesPersonID]],tblSalespersonSummary[SalesPersonID],tblSalespersonSummary[SalespersonName],"Not found")</f>
        <v>José Saraiva</v>
      </c>
      <c r="M388" t="str">
        <f>IF(tblCategorySales[[#This Row],[SalespersonName]]=tblCategorySales[[#This Row],[ExpectedSalespersonName]],"Match","Mismatch")</f>
        <v>Match</v>
      </c>
    </row>
    <row r="389" spans="1:13" x14ac:dyDescent="0.3">
      <c r="A389">
        <v>282</v>
      </c>
      <c r="B389" t="s">
        <v>25</v>
      </c>
      <c r="C389" t="s">
        <v>22</v>
      </c>
      <c r="D389">
        <v>2013</v>
      </c>
      <c r="E389">
        <v>2</v>
      </c>
      <c r="F389">
        <v>1</v>
      </c>
      <c r="G389" t="s">
        <v>71</v>
      </c>
      <c r="H389">
        <v>14</v>
      </c>
      <c r="I389">
        <v>363</v>
      </c>
      <c r="J389">
        <v>310324.46956699999</v>
      </c>
      <c r="K389" t="s">
        <v>74</v>
      </c>
      <c r="L389" t="str">
        <f>_xlfn.XLOOKUP(tblCategorySales[[#This Row],[SalesPersonID]],tblSalespersonSummary[SalesPersonID],tblSalespersonSummary[SalespersonName],"Not found")</f>
        <v>José Saraiva</v>
      </c>
      <c r="M389" t="str">
        <f>IF(tblCategorySales[[#This Row],[SalespersonName]]=tblCategorySales[[#This Row],[ExpectedSalespersonName]],"Match","Mismatch")</f>
        <v>Match</v>
      </c>
    </row>
    <row r="390" spans="1:13" x14ac:dyDescent="0.3">
      <c r="A390">
        <v>282</v>
      </c>
      <c r="B390" t="s">
        <v>25</v>
      </c>
      <c r="C390" t="s">
        <v>22</v>
      </c>
      <c r="D390">
        <v>2013</v>
      </c>
      <c r="E390">
        <v>2</v>
      </c>
      <c r="F390">
        <v>3</v>
      </c>
      <c r="G390" t="s">
        <v>72</v>
      </c>
      <c r="H390">
        <v>15</v>
      </c>
      <c r="I390">
        <v>589</v>
      </c>
      <c r="J390">
        <v>15592.876844</v>
      </c>
      <c r="K390" t="s">
        <v>74</v>
      </c>
      <c r="L390" t="str">
        <f>_xlfn.XLOOKUP(tblCategorySales[[#This Row],[SalesPersonID]],tblSalespersonSummary[SalesPersonID],tblSalespersonSummary[SalespersonName],"Not found")</f>
        <v>José Saraiva</v>
      </c>
      <c r="M390" t="str">
        <f>IF(tblCategorySales[[#This Row],[SalespersonName]]=tblCategorySales[[#This Row],[ExpectedSalespersonName]],"Match","Mismatch")</f>
        <v>Match</v>
      </c>
    </row>
    <row r="391" spans="1:13" x14ac:dyDescent="0.3">
      <c r="A391">
        <v>282</v>
      </c>
      <c r="B391" t="s">
        <v>25</v>
      </c>
      <c r="C391" t="s">
        <v>22</v>
      </c>
      <c r="D391">
        <v>2013</v>
      </c>
      <c r="E391">
        <v>2</v>
      </c>
      <c r="F391">
        <v>2</v>
      </c>
      <c r="G391" t="s">
        <v>73</v>
      </c>
      <c r="H391">
        <v>18</v>
      </c>
      <c r="I391">
        <v>424</v>
      </c>
      <c r="J391">
        <v>91910.026035999996</v>
      </c>
      <c r="K391" t="s">
        <v>74</v>
      </c>
      <c r="L391" t="str">
        <f>_xlfn.XLOOKUP(tblCategorySales[[#This Row],[SalesPersonID]],tblSalespersonSummary[SalesPersonID],tblSalespersonSummary[SalespersonName],"Not found")</f>
        <v>José Saraiva</v>
      </c>
      <c r="M391" t="str">
        <f>IF(tblCategorySales[[#This Row],[SalespersonName]]=tblCategorySales[[#This Row],[ExpectedSalespersonName]],"Match","Mismatch")</f>
        <v>Match</v>
      </c>
    </row>
    <row r="392" spans="1:13" x14ac:dyDescent="0.3">
      <c r="A392">
        <v>276</v>
      </c>
      <c r="B392" t="s">
        <v>26</v>
      </c>
      <c r="C392" t="s">
        <v>27</v>
      </c>
      <c r="D392">
        <v>2013</v>
      </c>
      <c r="E392">
        <v>2</v>
      </c>
      <c r="F392">
        <v>4</v>
      </c>
      <c r="G392" t="s">
        <v>70</v>
      </c>
      <c r="H392">
        <v>14</v>
      </c>
      <c r="I392">
        <v>560</v>
      </c>
      <c r="J392">
        <v>12394.39077</v>
      </c>
      <c r="K392" t="s">
        <v>74</v>
      </c>
      <c r="L392" t="str">
        <f>_xlfn.XLOOKUP(tblCategorySales[[#This Row],[SalesPersonID]],tblSalespersonSummary[SalesPersonID],tblSalespersonSummary[SalespersonName],"Not found")</f>
        <v>Linda Mitchell</v>
      </c>
      <c r="M392" t="str">
        <f>IF(tblCategorySales[[#This Row],[SalespersonName]]=tblCategorySales[[#This Row],[ExpectedSalespersonName]],"Match","Mismatch")</f>
        <v>Match</v>
      </c>
    </row>
    <row r="393" spans="1:13" x14ac:dyDescent="0.3">
      <c r="A393">
        <v>276</v>
      </c>
      <c r="B393" t="s">
        <v>26</v>
      </c>
      <c r="C393" t="s">
        <v>27</v>
      </c>
      <c r="D393">
        <v>2013</v>
      </c>
      <c r="E393">
        <v>2</v>
      </c>
      <c r="F393">
        <v>1</v>
      </c>
      <c r="G393" t="s">
        <v>71</v>
      </c>
      <c r="H393">
        <v>31</v>
      </c>
      <c r="I393">
        <v>1164</v>
      </c>
      <c r="J393">
        <v>951829.71338800003</v>
      </c>
      <c r="K393" t="s">
        <v>74</v>
      </c>
      <c r="L393" t="str">
        <f>_xlfn.XLOOKUP(tblCategorySales[[#This Row],[SalesPersonID]],tblSalespersonSummary[SalesPersonID],tblSalespersonSummary[SalespersonName],"Not found")</f>
        <v>Linda Mitchell</v>
      </c>
      <c r="M393" t="str">
        <f>IF(tblCategorySales[[#This Row],[SalespersonName]]=tblCategorySales[[#This Row],[ExpectedSalespersonName]],"Match","Mismatch")</f>
        <v>Match</v>
      </c>
    </row>
    <row r="394" spans="1:13" x14ac:dyDescent="0.3">
      <c r="A394">
        <v>276</v>
      </c>
      <c r="B394" t="s">
        <v>26</v>
      </c>
      <c r="C394" t="s">
        <v>27</v>
      </c>
      <c r="D394">
        <v>2013</v>
      </c>
      <c r="E394">
        <v>2</v>
      </c>
      <c r="F394">
        <v>3</v>
      </c>
      <c r="G394" t="s">
        <v>72</v>
      </c>
      <c r="H394">
        <v>22</v>
      </c>
      <c r="I394">
        <v>1377</v>
      </c>
      <c r="J394">
        <v>37692.689790999997</v>
      </c>
      <c r="K394" t="s">
        <v>74</v>
      </c>
      <c r="L394" t="str">
        <f>_xlfn.XLOOKUP(tblCategorySales[[#This Row],[SalesPersonID]],tblSalespersonSummary[SalesPersonID],tblSalespersonSummary[SalespersonName],"Not found")</f>
        <v>Linda Mitchell</v>
      </c>
      <c r="M394" t="str">
        <f>IF(tblCategorySales[[#This Row],[SalespersonName]]=tblCategorySales[[#This Row],[ExpectedSalespersonName]],"Match","Mismatch")</f>
        <v>Match</v>
      </c>
    </row>
    <row r="395" spans="1:13" x14ac:dyDescent="0.3">
      <c r="A395">
        <v>276</v>
      </c>
      <c r="B395" t="s">
        <v>26</v>
      </c>
      <c r="C395" t="s">
        <v>27</v>
      </c>
      <c r="D395">
        <v>2013</v>
      </c>
      <c r="E395">
        <v>2</v>
      </c>
      <c r="F395">
        <v>2</v>
      </c>
      <c r="G395" t="s">
        <v>73</v>
      </c>
      <c r="H395">
        <v>32</v>
      </c>
      <c r="I395">
        <v>1084</v>
      </c>
      <c r="J395">
        <v>229044.761111</v>
      </c>
      <c r="K395" t="s">
        <v>74</v>
      </c>
      <c r="L395" t="str">
        <f>_xlfn.XLOOKUP(tblCategorySales[[#This Row],[SalesPersonID]],tblSalespersonSummary[SalesPersonID],tblSalespersonSummary[SalespersonName],"Not found")</f>
        <v>Linda Mitchell</v>
      </c>
      <c r="M395" t="str">
        <f>IF(tblCategorySales[[#This Row],[SalespersonName]]=tblCategorySales[[#This Row],[ExpectedSalespersonName]],"Match","Mismatch")</f>
        <v>Match</v>
      </c>
    </row>
    <row r="396" spans="1:13" x14ac:dyDescent="0.3">
      <c r="A396">
        <v>286</v>
      </c>
      <c r="B396" t="s">
        <v>54</v>
      </c>
      <c r="C396" t="s">
        <v>55</v>
      </c>
      <c r="D396">
        <v>2013</v>
      </c>
      <c r="E396">
        <v>2</v>
      </c>
      <c r="F396">
        <v>4</v>
      </c>
      <c r="G396" t="s">
        <v>70</v>
      </c>
      <c r="H396">
        <v>2</v>
      </c>
      <c r="I396">
        <v>73</v>
      </c>
      <c r="J396">
        <v>2012.394</v>
      </c>
      <c r="K396" t="s">
        <v>74</v>
      </c>
      <c r="L396" t="str">
        <f>_xlfn.XLOOKUP(tblCategorySales[[#This Row],[SalesPersonID]],tblSalespersonSummary[SalesPersonID],tblSalespersonSummary[SalespersonName],"Not found")</f>
        <v>Lynn Tsoflias</v>
      </c>
      <c r="M396" t="str">
        <f>IF(tblCategorySales[[#This Row],[SalespersonName]]=tblCategorySales[[#This Row],[ExpectedSalespersonName]],"Match","Mismatch")</f>
        <v>Match</v>
      </c>
    </row>
    <row r="397" spans="1:13" x14ac:dyDescent="0.3">
      <c r="A397">
        <v>286</v>
      </c>
      <c r="B397" t="s">
        <v>54</v>
      </c>
      <c r="C397" t="s">
        <v>55</v>
      </c>
      <c r="D397">
        <v>2013</v>
      </c>
      <c r="E397">
        <v>2</v>
      </c>
      <c r="F397">
        <v>1</v>
      </c>
      <c r="G397" t="s">
        <v>71</v>
      </c>
      <c r="H397">
        <v>14</v>
      </c>
      <c r="I397">
        <v>198</v>
      </c>
      <c r="J397">
        <v>143783.93489400001</v>
      </c>
      <c r="K397" t="s">
        <v>74</v>
      </c>
      <c r="L397" t="str">
        <f>_xlfn.XLOOKUP(tblCategorySales[[#This Row],[SalesPersonID]],tblSalespersonSummary[SalesPersonID],tblSalespersonSummary[SalespersonName],"Not found")</f>
        <v>Lynn Tsoflias</v>
      </c>
      <c r="M397" t="str">
        <f>IF(tblCategorySales[[#This Row],[SalespersonName]]=tblCategorySales[[#This Row],[ExpectedSalespersonName]],"Match","Mismatch")</f>
        <v>Match</v>
      </c>
    </row>
    <row r="398" spans="1:13" x14ac:dyDescent="0.3">
      <c r="A398">
        <v>286</v>
      </c>
      <c r="B398" t="s">
        <v>54</v>
      </c>
      <c r="C398" t="s">
        <v>55</v>
      </c>
      <c r="D398">
        <v>2013</v>
      </c>
      <c r="E398">
        <v>2</v>
      </c>
      <c r="F398">
        <v>3</v>
      </c>
      <c r="G398" t="s">
        <v>72</v>
      </c>
      <c r="H398">
        <v>8</v>
      </c>
      <c r="I398">
        <v>122</v>
      </c>
      <c r="J398">
        <v>3379.4197920000001</v>
      </c>
      <c r="K398" t="s">
        <v>74</v>
      </c>
      <c r="L398" t="str">
        <f>_xlfn.XLOOKUP(tblCategorySales[[#This Row],[SalesPersonID]],tblSalespersonSummary[SalesPersonID],tblSalespersonSummary[SalespersonName],"Not found")</f>
        <v>Lynn Tsoflias</v>
      </c>
      <c r="M398" t="str">
        <f>IF(tblCategorySales[[#This Row],[SalespersonName]]=tblCategorySales[[#This Row],[ExpectedSalespersonName]],"Match","Mismatch")</f>
        <v>Match</v>
      </c>
    </row>
    <row r="399" spans="1:13" x14ac:dyDescent="0.3">
      <c r="A399">
        <v>286</v>
      </c>
      <c r="B399" t="s">
        <v>54</v>
      </c>
      <c r="C399" t="s">
        <v>55</v>
      </c>
      <c r="D399">
        <v>2013</v>
      </c>
      <c r="E399">
        <v>2</v>
      </c>
      <c r="F399">
        <v>2</v>
      </c>
      <c r="G399" t="s">
        <v>73</v>
      </c>
      <c r="H399">
        <v>13</v>
      </c>
      <c r="I399">
        <v>146</v>
      </c>
      <c r="J399">
        <v>34929.947328000002</v>
      </c>
      <c r="K399" t="s">
        <v>74</v>
      </c>
      <c r="L399" t="str">
        <f>_xlfn.XLOOKUP(tblCategorySales[[#This Row],[SalesPersonID]],tblSalespersonSummary[SalesPersonID],tblSalespersonSummary[SalespersonName],"Not found")</f>
        <v>Lynn Tsoflias</v>
      </c>
      <c r="M399" t="str">
        <f>IF(tblCategorySales[[#This Row],[SalespersonName]]=tblCategorySales[[#This Row],[ExpectedSalespersonName]],"Match","Mismatch")</f>
        <v>Match</v>
      </c>
    </row>
    <row r="400" spans="1:13" x14ac:dyDescent="0.3">
      <c r="A400">
        <v>275</v>
      </c>
      <c r="B400" t="s">
        <v>28</v>
      </c>
      <c r="C400" t="s">
        <v>29</v>
      </c>
      <c r="D400">
        <v>2013</v>
      </c>
      <c r="E400">
        <v>2</v>
      </c>
      <c r="F400">
        <v>4</v>
      </c>
      <c r="G400" t="s">
        <v>70</v>
      </c>
      <c r="H400">
        <v>20</v>
      </c>
      <c r="I400">
        <v>345</v>
      </c>
      <c r="J400">
        <v>7247.5279280000004</v>
      </c>
      <c r="K400" t="s">
        <v>74</v>
      </c>
      <c r="L400" t="str">
        <f>_xlfn.XLOOKUP(tblCategorySales[[#This Row],[SalesPersonID]],tblSalespersonSummary[SalesPersonID],tblSalespersonSummary[SalespersonName],"Not found")</f>
        <v>Michael Blythe</v>
      </c>
      <c r="M400" t="str">
        <f>IF(tblCategorySales[[#This Row],[SalespersonName]]=tblCategorySales[[#This Row],[ExpectedSalespersonName]],"Match","Mismatch")</f>
        <v>Match</v>
      </c>
    </row>
    <row r="401" spans="1:13" x14ac:dyDescent="0.3">
      <c r="A401">
        <v>275</v>
      </c>
      <c r="B401" t="s">
        <v>28</v>
      </c>
      <c r="C401" t="s">
        <v>29</v>
      </c>
      <c r="D401">
        <v>2013</v>
      </c>
      <c r="E401">
        <v>2</v>
      </c>
      <c r="F401">
        <v>1</v>
      </c>
      <c r="G401" t="s">
        <v>71</v>
      </c>
      <c r="H401">
        <v>36</v>
      </c>
      <c r="I401">
        <v>951</v>
      </c>
      <c r="J401">
        <v>785601.58149999997</v>
      </c>
      <c r="K401" t="s">
        <v>74</v>
      </c>
      <c r="L401" t="str">
        <f>_xlfn.XLOOKUP(tblCategorySales[[#This Row],[SalesPersonID]],tblSalespersonSummary[SalesPersonID],tblSalespersonSummary[SalespersonName],"Not found")</f>
        <v>Michael Blythe</v>
      </c>
      <c r="M401" t="str">
        <f>IF(tblCategorySales[[#This Row],[SalespersonName]]=tblCategorySales[[#This Row],[ExpectedSalespersonName]],"Match","Mismatch")</f>
        <v>Match</v>
      </c>
    </row>
    <row r="402" spans="1:13" x14ac:dyDescent="0.3">
      <c r="A402">
        <v>275</v>
      </c>
      <c r="B402" t="s">
        <v>28</v>
      </c>
      <c r="C402" t="s">
        <v>29</v>
      </c>
      <c r="D402">
        <v>2013</v>
      </c>
      <c r="E402">
        <v>2</v>
      </c>
      <c r="F402">
        <v>3</v>
      </c>
      <c r="G402" t="s">
        <v>72</v>
      </c>
      <c r="H402">
        <v>31</v>
      </c>
      <c r="I402">
        <v>906</v>
      </c>
      <c r="J402">
        <v>24462.127081999999</v>
      </c>
      <c r="K402" t="s">
        <v>74</v>
      </c>
      <c r="L402" t="str">
        <f>_xlfn.XLOOKUP(tblCategorySales[[#This Row],[SalesPersonID]],tblSalespersonSummary[SalesPersonID],tblSalespersonSummary[SalespersonName],"Not found")</f>
        <v>Michael Blythe</v>
      </c>
      <c r="M402" t="str">
        <f>IF(tblCategorySales[[#This Row],[SalespersonName]]=tblCategorySales[[#This Row],[ExpectedSalespersonName]],"Match","Mismatch")</f>
        <v>Match</v>
      </c>
    </row>
    <row r="403" spans="1:13" x14ac:dyDescent="0.3">
      <c r="A403">
        <v>275</v>
      </c>
      <c r="B403" t="s">
        <v>28</v>
      </c>
      <c r="C403" t="s">
        <v>29</v>
      </c>
      <c r="D403">
        <v>2013</v>
      </c>
      <c r="E403">
        <v>2</v>
      </c>
      <c r="F403">
        <v>2</v>
      </c>
      <c r="G403" t="s">
        <v>73</v>
      </c>
      <c r="H403">
        <v>36</v>
      </c>
      <c r="I403">
        <v>918</v>
      </c>
      <c r="J403">
        <v>208367.56332799999</v>
      </c>
      <c r="K403" t="s">
        <v>74</v>
      </c>
      <c r="L403" t="str">
        <f>_xlfn.XLOOKUP(tblCategorySales[[#This Row],[SalesPersonID]],tblSalespersonSummary[SalesPersonID],tblSalespersonSummary[SalespersonName],"Not found")</f>
        <v>Michael Blythe</v>
      </c>
      <c r="M403" t="str">
        <f>IF(tblCategorySales[[#This Row],[SalespersonName]]=tblCategorySales[[#This Row],[ExpectedSalespersonName]],"Match","Mismatch")</f>
        <v>Match</v>
      </c>
    </row>
    <row r="404" spans="1:13" x14ac:dyDescent="0.3">
      <c r="A404">
        <v>280</v>
      </c>
      <c r="B404" t="s">
        <v>30</v>
      </c>
      <c r="C404" t="s">
        <v>16</v>
      </c>
      <c r="D404">
        <v>2013</v>
      </c>
      <c r="E404">
        <v>2</v>
      </c>
      <c r="F404">
        <v>4</v>
      </c>
      <c r="G404" t="s">
        <v>70</v>
      </c>
      <c r="H404">
        <v>3</v>
      </c>
      <c r="I404">
        <v>85</v>
      </c>
      <c r="J404">
        <v>1992.3826079999999</v>
      </c>
      <c r="K404" t="s">
        <v>74</v>
      </c>
      <c r="L404" t="str">
        <f>_xlfn.XLOOKUP(tblCategorySales[[#This Row],[SalesPersonID]],tblSalespersonSummary[SalesPersonID],tblSalespersonSummary[SalespersonName],"Not found")</f>
        <v>Pamela Ansman-Wolfe</v>
      </c>
      <c r="M404" t="str">
        <f>IF(tblCategorySales[[#This Row],[SalespersonName]]=tblCategorySales[[#This Row],[ExpectedSalespersonName]],"Match","Mismatch")</f>
        <v>Match</v>
      </c>
    </row>
    <row r="405" spans="1:13" x14ac:dyDescent="0.3">
      <c r="A405">
        <v>280</v>
      </c>
      <c r="B405" t="s">
        <v>30</v>
      </c>
      <c r="C405" t="s">
        <v>16</v>
      </c>
      <c r="D405">
        <v>2013</v>
      </c>
      <c r="E405">
        <v>2</v>
      </c>
      <c r="F405">
        <v>1</v>
      </c>
      <c r="G405" t="s">
        <v>71</v>
      </c>
      <c r="H405">
        <v>4</v>
      </c>
      <c r="I405">
        <v>197</v>
      </c>
      <c r="J405">
        <v>148613.06015</v>
      </c>
      <c r="K405" t="s">
        <v>74</v>
      </c>
      <c r="L405" t="str">
        <f>_xlfn.XLOOKUP(tblCategorySales[[#This Row],[SalesPersonID]],tblSalespersonSummary[SalesPersonID],tblSalespersonSummary[SalespersonName],"Not found")</f>
        <v>Pamela Ansman-Wolfe</v>
      </c>
      <c r="M405" t="str">
        <f>IF(tblCategorySales[[#This Row],[SalespersonName]]=tblCategorySales[[#This Row],[ExpectedSalespersonName]],"Match","Mismatch")</f>
        <v>Match</v>
      </c>
    </row>
    <row r="406" spans="1:13" x14ac:dyDescent="0.3">
      <c r="A406">
        <v>280</v>
      </c>
      <c r="B406" t="s">
        <v>30</v>
      </c>
      <c r="C406" t="s">
        <v>16</v>
      </c>
      <c r="D406">
        <v>2013</v>
      </c>
      <c r="E406">
        <v>2</v>
      </c>
      <c r="F406">
        <v>3</v>
      </c>
      <c r="G406" t="s">
        <v>72</v>
      </c>
      <c r="H406">
        <v>4</v>
      </c>
      <c r="I406">
        <v>283</v>
      </c>
      <c r="J406">
        <v>8242.6957170000005</v>
      </c>
      <c r="K406" t="s">
        <v>74</v>
      </c>
      <c r="L406" t="str">
        <f>_xlfn.XLOOKUP(tblCategorySales[[#This Row],[SalesPersonID]],tblSalespersonSummary[SalesPersonID],tblSalespersonSummary[SalespersonName],"Not found")</f>
        <v>Pamela Ansman-Wolfe</v>
      </c>
      <c r="M406" t="str">
        <f>IF(tblCategorySales[[#This Row],[SalespersonName]]=tblCategorySales[[#This Row],[ExpectedSalespersonName]],"Match","Mismatch")</f>
        <v>Match</v>
      </c>
    </row>
    <row r="407" spans="1:13" x14ac:dyDescent="0.3">
      <c r="A407">
        <v>280</v>
      </c>
      <c r="B407" t="s">
        <v>30</v>
      </c>
      <c r="C407" t="s">
        <v>16</v>
      </c>
      <c r="D407">
        <v>2013</v>
      </c>
      <c r="E407">
        <v>2</v>
      </c>
      <c r="F407">
        <v>2</v>
      </c>
      <c r="G407" t="s">
        <v>73</v>
      </c>
      <c r="H407">
        <v>4</v>
      </c>
      <c r="I407">
        <v>204</v>
      </c>
      <c r="J407">
        <v>46109.626872000001</v>
      </c>
      <c r="K407" t="s">
        <v>74</v>
      </c>
      <c r="L407" t="str">
        <f>_xlfn.XLOOKUP(tblCategorySales[[#This Row],[SalesPersonID]],tblSalespersonSummary[SalesPersonID],tblSalespersonSummary[SalespersonName],"Not found")</f>
        <v>Pamela Ansman-Wolfe</v>
      </c>
      <c r="M407" t="str">
        <f>IF(tblCategorySales[[#This Row],[SalespersonName]]=tblCategorySales[[#This Row],[ExpectedSalespersonName]],"Match","Mismatch")</f>
        <v>Match</v>
      </c>
    </row>
    <row r="408" spans="1:13" x14ac:dyDescent="0.3">
      <c r="A408">
        <v>288</v>
      </c>
      <c r="B408" t="s">
        <v>56</v>
      </c>
      <c r="C408" t="s">
        <v>57</v>
      </c>
      <c r="D408">
        <v>2013</v>
      </c>
      <c r="E408">
        <v>2</v>
      </c>
      <c r="F408">
        <v>4</v>
      </c>
      <c r="G408" t="s">
        <v>70</v>
      </c>
      <c r="H408">
        <v>7</v>
      </c>
      <c r="I408">
        <v>344</v>
      </c>
      <c r="J408">
        <v>7251.489998</v>
      </c>
      <c r="K408" t="s">
        <v>74</v>
      </c>
      <c r="L408" t="str">
        <f>_xlfn.XLOOKUP(tblCategorySales[[#This Row],[SalesPersonID]],tblSalespersonSummary[SalesPersonID],tblSalespersonSummary[SalespersonName],"Not found")</f>
        <v>Rachel Valdez</v>
      </c>
      <c r="M408" t="str">
        <f>IF(tblCategorySales[[#This Row],[SalespersonName]]=tblCategorySales[[#This Row],[ExpectedSalespersonName]],"Match","Mismatch")</f>
        <v>Match</v>
      </c>
    </row>
    <row r="409" spans="1:13" x14ac:dyDescent="0.3">
      <c r="A409">
        <v>288</v>
      </c>
      <c r="B409" t="s">
        <v>56</v>
      </c>
      <c r="C409" t="s">
        <v>57</v>
      </c>
      <c r="D409">
        <v>2013</v>
      </c>
      <c r="E409">
        <v>2</v>
      </c>
      <c r="F409">
        <v>1</v>
      </c>
      <c r="G409" t="s">
        <v>71</v>
      </c>
      <c r="H409">
        <v>15</v>
      </c>
      <c r="I409">
        <v>369</v>
      </c>
      <c r="J409">
        <v>261918.167793</v>
      </c>
      <c r="K409" t="s">
        <v>74</v>
      </c>
      <c r="L409" t="str">
        <f>_xlfn.XLOOKUP(tblCategorySales[[#This Row],[SalesPersonID]],tblSalespersonSummary[SalesPersonID],tblSalespersonSummary[SalespersonName],"Not found")</f>
        <v>Rachel Valdez</v>
      </c>
      <c r="M409" t="str">
        <f>IF(tblCategorySales[[#This Row],[SalespersonName]]=tblCategorySales[[#This Row],[ExpectedSalespersonName]],"Match","Mismatch")</f>
        <v>Match</v>
      </c>
    </row>
    <row r="410" spans="1:13" x14ac:dyDescent="0.3">
      <c r="A410">
        <v>288</v>
      </c>
      <c r="B410" t="s">
        <v>56</v>
      </c>
      <c r="C410" t="s">
        <v>57</v>
      </c>
      <c r="D410">
        <v>2013</v>
      </c>
      <c r="E410">
        <v>2</v>
      </c>
      <c r="F410">
        <v>3</v>
      </c>
      <c r="G410" t="s">
        <v>72</v>
      </c>
      <c r="H410">
        <v>12</v>
      </c>
      <c r="I410">
        <v>635</v>
      </c>
      <c r="J410">
        <v>15751.347785</v>
      </c>
      <c r="K410" t="s">
        <v>74</v>
      </c>
      <c r="L410" t="str">
        <f>_xlfn.XLOOKUP(tblCategorySales[[#This Row],[SalesPersonID]],tblSalespersonSummary[SalesPersonID],tblSalespersonSummary[SalespersonName],"Not found")</f>
        <v>Rachel Valdez</v>
      </c>
      <c r="M410" t="str">
        <f>IF(tblCategorySales[[#This Row],[SalespersonName]]=tblCategorySales[[#This Row],[ExpectedSalespersonName]],"Match","Mismatch")</f>
        <v>Match</v>
      </c>
    </row>
    <row r="411" spans="1:13" x14ac:dyDescent="0.3">
      <c r="A411">
        <v>288</v>
      </c>
      <c r="B411" t="s">
        <v>56</v>
      </c>
      <c r="C411" t="s">
        <v>57</v>
      </c>
      <c r="D411">
        <v>2013</v>
      </c>
      <c r="E411">
        <v>2</v>
      </c>
      <c r="F411">
        <v>2</v>
      </c>
      <c r="G411" t="s">
        <v>73</v>
      </c>
      <c r="H411">
        <v>18</v>
      </c>
      <c r="I411">
        <v>325</v>
      </c>
      <c r="J411">
        <v>87052.191099999996</v>
      </c>
      <c r="K411" t="s">
        <v>74</v>
      </c>
      <c r="L411" t="str">
        <f>_xlfn.XLOOKUP(tblCategorySales[[#This Row],[SalesPersonID]],tblSalespersonSummary[SalesPersonID],tblSalespersonSummary[SalespersonName],"Not found")</f>
        <v>Rachel Valdez</v>
      </c>
      <c r="M411" t="str">
        <f>IF(tblCategorySales[[#This Row],[SalespersonName]]=tblCategorySales[[#This Row],[ExpectedSalespersonName]],"Match","Mismatch")</f>
        <v>Match</v>
      </c>
    </row>
    <row r="412" spans="1:13" x14ac:dyDescent="0.3">
      <c r="A412">
        <v>290</v>
      </c>
      <c r="B412" t="s">
        <v>46</v>
      </c>
      <c r="C412" t="s">
        <v>47</v>
      </c>
      <c r="D412">
        <v>2013</v>
      </c>
      <c r="E412">
        <v>2</v>
      </c>
      <c r="F412">
        <v>4</v>
      </c>
      <c r="G412" t="s">
        <v>70</v>
      </c>
      <c r="H412">
        <v>9</v>
      </c>
      <c r="I412">
        <v>401</v>
      </c>
      <c r="J412">
        <v>9152.4654069999997</v>
      </c>
      <c r="K412" t="s">
        <v>74</v>
      </c>
      <c r="L412" t="str">
        <f>_xlfn.XLOOKUP(tblCategorySales[[#This Row],[SalesPersonID]],tblSalespersonSummary[SalesPersonID],tblSalespersonSummary[SalespersonName],"Not found")</f>
        <v>Ranjit Varkey Chudukatil</v>
      </c>
      <c r="M412" t="str">
        <f>IF(tblCategorySales[[#This Row],[SalespersonName]]=tblCategorySales[[#This Row],[ExpectedSalespersonName]],"Match","Mismatch")</f>
        <v>Match</v>
      </c>
    </row>
    <row r="413" spans="1:13" x14ac:dyDescent="0.3">
      <c r="A413">
        <v>290</v>
      </c>
      <c r="B413" t="s">
        <v>46</v>
      </c>
      <c r="C413" t="s">
        <v>47</v>
      </c>
      <c r="D413">
        <v>2013</v>
      </c>
      <c r="E413">
        <v>2</v>
      </c>
      <c r="F413">
        <v>1</v>
      </c>
      <c r="G413" t="s">
        <v>71</v>
      </c>
      <c r="H413">
        <v>19</v>
      </c>
      <c r="I413">
        <v>784</v>
      </c>
      <c r="J413">
        <v>588408.70173700002</v>
      </c>
      <c r="K413" t="s">
        <v>74</v>
      </c>
      <c r="L413" t="str">
        <f>_xlfn.XLOOKUP(tblCategorySales[[#This Row],[SalesPersonID]],tblSalespersonSummary[SalesPersonID],tblSalespersonSummary[SalespersonName],"Not found")</f>
        <v>Ranjit Varkey Chudukatil</v>
      </c>
      <c r="M413" t="str">
        <f>IF(tblCategorySales[[#This Row],[SalespersonName]]=tblCategorySales[[#This Row],[ExpectedSalespersonName]],"Match","Mismatch")</f>
        <v>Match</v>
      </c>
    </row>
    <row r="414" spans="1:13" x14ac:dyDescent="0.3">
      <c r="A414">
        <v>290</v>
      </c>
      <c r="B414" t="s">
        <v>46</v>
      </c>
      <c r="C414" t="s">
        <v>47</v>
      </c>
      <c r="D414">
        <v>2013</v>
      </c>
      <c r="E414">
        <v>2</v>
      </c>
      <c r="F414">
        <v>3</v>
      </c>
      <c r="G414" t="s">
        <v>72</v>
      </c>
      <c r="H414">
        <v>17</v>
      </c>
      <c r="I414">
        <v>822</v>
      </c>
      <c r="J414">
        <v>22564.028642000001</v>
      </c>
      <c r="K414" t="s">
        <v>74</v>
      </c>
      <c r="L414" t="str">
        <f>_xlfn.XLOOKUP(tblCategorySales[[#This Row],[SalesPersonID]],tblSalespersonSummary[SalesPersonID],tblSalespersonSummary[SalespersonName],"Not found")</f>
        <v>Ranjit Varkey Chudukatil</v>
      </c>
      <c r="M414" t="str">
        <f>IF(tblCategorySales[[#This Row],[SalespersonName]]=tblCategorySales[[#This Row],[ExpectedSalespersonName]],"Match","Mismatch")</f>
        <v>Match</v>
      </c>
    </row>
    <row r="415" spans="1:13" x14ac:dyDescent="0.3">
      <c r="A415">
        <v>290</v>
      </c>
      <c r="B415" t="s">
        <v>46</v>
      </c>
      <c r="C415" t="s">
        <v>47</v>
      </c>
      <c r="D415">
        <v>2013</v>
      </c>
      <c r="E415">
        <v>2</v>
      </c>
      <c r="F415">
        <v>2</v>
      </c>
      <c r="G415" t="s">
        <v>73</v>
      </c>
      <c r="H415">
        <v>23</v>
      </c>
      <c r="I415">
        <v>920</v>
      </c>
      <c r="J415">
        <v>209270.61960400001</v>
      </c>
      <c r="K415" t="s">
        <v>74</v>
      </c>
      <c r="L415" t="str">
        <f>_xlfn.XLOOKUP(tblCategorySales[[#This Row],[SalesPersonID]],tblSalespersonSummary[SalesPersonID],tblSalespersonSummary[SalespersonName],"Not found")</f>
        <v>Ranjit Varkey Chudukatil</v>
      </c>
      <c r="M415" t="str">
        <f>IF(tblCategorySales[[#This Row],[SalespersonName]]=tblCategorySales[[#This Row],[ExpectedSalespersonName]],"Match","Mismatch")</f>
        <v>Match</v>
      </c>
    </row>
    <row r="416" spans="1:13" x14ac:dyDescent="0.3">
      <c r="A416">
        <v>281</v>
      </c>
      <c r="B416" t="s">
        <v>31</v>
      </c>
      <c r="C416" t="s">
        <v>27</v>
      </c>
      <c r="D416">
        <v>2013</v>
      </c>
      <c r="E416">
        <v>2</v>
      </c>
      <c r="F416">
        <v>4</v>
      </c>
      <c r="G416" t="s">
        <v>70</v>
      </c>
      <c r="H416">
        <v>10</v>
      </c>
      <c r="I416">
        <v>377</v>
      </c>
      <c r="J416">
        <v>7798.4041999999999</v>
      </c>
      <c r="K416" t="s">
        <v>74</v>
      </c>
      <c r="L416" t="str">
        <f>_xlfn.XLOOKUP(tblCategorySales[[#This Row],[SalesPersonID]],tblSalespersonSummary[SalesPersonID],tblSalespersonSummary[SalespersonName],"Not found")</f>
        <v>Shu Ito</v>
      </c>
      <c r="M416" t="str">
        <f>IF(tblCategorySales[[#This Row],[SalespersonName]]=tblCategorySales[[#This Row],[ExpectedSalespersonName]],"Match","Mismatch")</f>
        <v>Match</v>
      </c>
    </row>
    <row r="417" spans="1:13" x14ac:dyDescent="0.3">
      <c r="A417">
        <v>281</v>
      </c>
      <c r="B417" t="s">
        <v>31</v>
      </c>
      <c r="C417" t="s">
        <v>27</v>
      </c>
      <c r="D417">
        <v>2013</v>
      </c>
      <c r="E417">
        <v>2</v>
      </c>
      <c r="F417">
        <v>1</v>
      </c>
      <c r="G417" t="s">
        <v>71</v>
      </c>
      <c r="H417">
        <v>24</v>
      </c>
      <c r="I417">
        <v>659</v>
      </c>
      <c r="J417">
        <v>526737.16460100003</v>
      </c>
      <c r="K417" t="s">
        <v>74</v>
      </c>
      <c r="L417" t="str">
        <f>_xlfn.XLOOKUP(tblCategorySales[[#This Row],[SalesPersonID]],tblSalespersonSummary[SalesPersonID],tblSalespersonSummary[SalespersonName],"Not found")</f>
        <v>Shu Ito</v>
      </c>
      <c r="M417" t="str">
        <f>IF(tblCategorySales[[#This Row],[SalespersonName]]=tblCategorySales[[#This Row],[ExpectedSalespersonName]],"Match","Mismatch")</f>
        <v>Match</v>
      </c>
    </row>
    <row r="418" spans="1:13" x14ac:dyDescent="0.3">
      <c r="A418">
        <v>281</v>
      </c>
      <c r="B418" t="s">
        <v>31</v>
      </c>
      <c r="C418" t="s">
        <v>27</v>
      </c>
      <c r="D418">
        <v>2013</v>
      </c>
      <c r="E418">
        <v>2</v>
      </c>
      <c r="F418">
        <v>3</v>
      </c>
      <c r="G418" t="s">
        <v>72</v>
      </c>
      <c r="H418">
        <v>18</v>
      </c>
      <c r="I418">
        <v>788</v>
      </c>
      <c r="J418">
        <v>20725.590672999999</v>
      </c>
      <c r="K418" t="s">
        <v>74</v>
      </c>
      <c r="L418" t="str">
        <f>_xlfn.XLOOKUP(tblCategorySales[[#This Row],[SalesPersonID]],tblSalespersonSummary[SalesPersonID],tblSalespersonSummary[SalespersonName],"Not found")</f>
        <v>Shu Ito</v>
      </c>
      <c r="M418" t="str">
        <f>IF(tblCategorySales[[#This Row],[SalespersonName]]=tblCategorySales[[#This Row],[ExpectedSalespersonName]],"Match","Mismatch")</f>
        <v>Match</v>
      </c>
    </row>
    <row r="419" spans="1:13" x14ac:dyDescent="0.3">
      <c r="A419">
        <v>281</v>
      </c>
      <c r="B419" t="s">
        <v>31</v>
      </c>
      <c r="C419" t="s">
        <v>27</v>
      </c>
      <c r="D419">
        <v>2013</v>
      </c>
      <c r="E419">
        <v>2</v>
      </c>
      <c r="F419">
        <v>2</v>
      </c>
      <c r="G419" t="s">
        <v>73</v>
      </c>
      <c r="H419">
        <v>23</v>
      </c>
      <c r="I419">
        <v>606</v>
      </c>
      <c r="J419">
        <v>166249.19407500001</v>
      </c>
      <c r="K419" t="s">
        <v>74</v>
      </c>
      <c r="L419" t="str">
        <f>_xlfn.XLOOKUP(tblCategorySales[[#This Row],[SalesPersonID]],tblSalespersonSummary[SalesPersonID],tblSalespersonSummary[SalespersonName],"Not found")</f>
        <v>Shu Ito</v>
      </c>
      <c r="M419" t="str">
        <f>IF(tblCategorySales[[#This Row],[SalespersonName]]=tblCategorySales[[#This Row],[ExpectedSalespersonName]],"Match","Mismatch")</f>
        <v>Match</v>
      </c>
    </row>
    <row r="420" spans="1:13" x14ac:dyDescent="0.3">
      <c r="A420">
        <v>274</v>
      </c>
      <c r="B420" t="s">
        <v>32</v>
      </c>
      <c r="C420" t="s">
        <v>33</v>
      </c>
      <c r="D420">
        <v>2013</v>
      </c>
      <c r="E420">
        <v>2</v>
      </c>
      <c r="F420">
        <v>4</v>
      </c>
      <c r="G420" t="s">
        <v>70</v>
      </c>
      <c r="H420">
        <v>2</v>
      </c>
      <c r="I420">
        <v>56</v>
      </c>
      <c r="J420">
        <v>1189.2239999999999</v>
      </c>
      <c r="K420" t="s">
        <v>74</v>
      </c>
      <c r="L420" t="str">
        <f>_xlfn.XLOOKUP(tblCategorySales[[#This Row],[SalesPersonID]],tblSalespersonSummary[SalesPersonID],tblSalespersonSummary[SalespersonName],"Not found")</f>
        <v>Stephen Jiang</v>
      </c>
      <c r="M420" t="str">
        <f>IF(tblCategorySales[[#This Row],[SalespersonName]]=tblCategorySales[[#This Row],[ExpectedSalespersonName]],"Match","Mismatch")</f>
        <v>Match</v>
      </c>
    </row>
    <row r="421" spans="1:13" x14ac:dyDescent="0.3">
      <c r="A421">
        <v>274</v>
      </c>
      <c r="B421" t="s">
        <v>32</v>
      </c>
      <c r="C421" t="s">
        <v>33</v>
      </c>
      <c r="D421">
        <v>2013</v>
      </c>
      <c r="E421">
        <v>2</v>
      </c>
      <c r="F421">
        <v>1</v>
      </c>
      <c r="G421" t="s">
        <v>71</v>
      </c>
      <c r="H421">
        <v>4</v>
      </c>
      <c r="I421">
        <v>129</v>
      </c>
      <c r="J421">
        <v>110628.005726</v>
      </c>
      <c r="K421" t="s">
        <v>74</v>
      </c>
      <c r="L421" t="str">
        <f>_xlfn.XLOOKUP(tblCategorySales[[#This Row],[SalesPersonID]],tblSalespersonSummary[SalesPersonID],tblSalespersonSummary[SalespersonName],"Not found")</f>
        <v>Stephen Jiang</v>
      </c>
      <c r="M421" t="str">
        <f>IF(tblCategorySales[[#This Row],[SalespersonName]]=tblCategorySales[[#This Row],[ExpectedSalespersonName]],"Match","Mismatch")</f>
        <v>Match</v>
      </c>
    </row>
    <row r="422" spans="1:13" x14ac:dyDescent="0.3">
      <c r="A422">
        <v>274</v>
      </c>
      <c r="B422" t="s">
        <v>32</v>
      </c>
      <c r="C422" t="s">
        <v>33</v>
      </c>
      <c r="D422">
        <v>2013</v>
      </c>
      <c r="E422">
        <v>2</v>
      </c>
      <c r="F422">
        <v>3</v>
      </c>
      <c r="G422" t="s">
        <v>72</v>
      </c>
      <c r="H422">
        <v>2</v>
      </c>
      <c r="I422">
        <v>113</v>
      </c>
      <c r="J422">
        <v>2553.2360159999998</v>
      </c>
      <c r="K422" t="s">
        <v>74</v>
      </c>
      <c r="L422" t="str">
        <f>_xlfn.XLOOKUP(tblCategorySales[[#This Row],[SalesPersonID]],tblSalespersonSummary[SalesPersonID],tblSalespersonSummary[SalespersonName],"Not found")</f>
        <v>Stephen Jiang</v>
      </c>
      <c r="M422" t="str">
        <f>IF(tblCategorySales[[#This Row],[SalespersonName]]=tblCategorySales[[#This Row],[ExpectedSalespersonName]],"Match","Mismatch")</f>
        <v>Match</v>
      </c>
    </row>
    <row r="423" spans="1:13" x14ac:dyDescent="0.3">
      <c r="A423">
        <v>274</v>
      </c>
      <c r="B423" t="s">
        <v>32</v>
      </c>
      <c r="C423" t="s">
        <v>33</v>
      </c>
      <c r="D423">
        <v>2013</v>
      </c>
      <c r="E423">
        <v>2</v>
      </c>
      <c r="F423">
        <v>2</v>
      </c>
      <c r="G423" t="s">
        <v>73</v>
      </c>
      <c r="H423">
        <v>2</v>
      </c>
      <c r="I423">
        <v>69</v>
      </c>
      <c r="J423">
        <v>16522.11</v>
      </c>
      <c r="K423" t="s">
        <v>74</v>
      </c>
      <c r="L423" t="str">
        <f>_xlfn.XLOOKUP(tblCategorySales[[#This Row],[SalesPersonID]],tblSalespersonSummary[SalesPersonID],tblSalespersonSummary[SalespersonName],"Not found")</f>
        <v>Stephen Jiang</v>
      </c>
      <c r="M423" t="str">
        <f>IF(tblCategorySales[[#This Row],[SalespersonName]]=tblCategorySales[[#This Row],[ExpectedSalespersonName]],"Match","Mismatch")</f>
        <v>Match</v>
      </c>
    </row>
    <row r="424" spans="1:13" x14ac:dyDescent="0.3">
      <c r="A424">
        <v>284</v>
      </c>
      <c r="B424" t="s">
        <v>50</v>
      </c>
      <c r="C424" t="s">
        <v>16</v>
      </c>
      <c r="D424">
        <v>2013</v>
      </c>
      <c r="E424">
        <v>2</v>
      </c>
      <c r="F424">
        <v>4</v>
      </c>
      <c r="G424" t="s">
        <v>70</v>
      </c>
      <c r="H424">
        <v>3</v>
      </c>
      <c r="I424">
        <v>40</v>
      </c>
      <c r="J424">
        <v>1080.80205</v>
      </c>
      <c r="K424" t="s">
        <v>74</v>
      </c>
      <c r="L424" t="str">
        <f>_xlfn.XLOOKUP(tblCategorySales[[#This Row],[SalesPersonID]],tblSalespersonSummary[SalesPersonID],tblSalespersonSummary[SalespersonName],"Not found")</f>
        <v>Tete Mensa-Annan</v>
      </c>
      <c r="M424" t="str">
        <f>IF(tblCategorySales[[#This Row],[SalespersonName]]=tblCategorySales[[#This Row],[ExpectedSalespersonName]],"Match","Mismatch")</f>
        <v>Match</v>
      </c>
    </row>
    <row r="425" spans="1:13" x14ac:dyDescent="0.3">
      <c r="A425">
        <v>284</v>
      </c>
      <c r="B425" t="s">
        <v>50</v>
      </c>
      <c r="C425" t="s">
        <v>16</v>
      </c>
      <c r="D425">
        <v>2013</v>
      </c>
      <c r="E425">
        <v>2</v>
      </c>
      <c r="F425">
        <v>1</v>
      </c>
      <c r="G425" t="s">
        <v>71</v>
      </c>
      <c r="H425">
        <v>15</v>
      </c>
      <c r="I425">
        <v>268</v>
      </c>
      <c r="J425">
        <v>196333.72578000001</v>
      </c>
      <c r="K425" t="s">
        <v>74</v>
      </c>
      <c r="L425" t="str">
        <f>_xlfn.XLOOKUP(tblCategorySales[[#This Row],[SalesPersonID]],tblSalespersonSummary[SalesPersonID],tblSalespersonSummary[SalespersonName],"Not found")</f>
        <v>Tete Mensa-Annan</v>
      </c>
      <c r="M425" t="str">
        <f>IF(tblCategorySales[[#This Row],[SalespersonName]]=tblCategorySales[[#This Row],[ExpectedSalespersonName]],"Match","Mismatch")</f>
        <v>Match</v>
      </c>
    </row>
    <row r="426" spans="1:13" x14ac:dyDescent="0.3">
      <c r="A426">
        <v>284</v>
      </c>
      <c r="B426" t="s">
        <v>50</v>
      </c>
      <c r="C426" t="s">
        <v>16</v>
      </c>
      <c r="D426">
        <v>2013</v>
      </c>
      <c r="E426">
        <v>2</v>
      </c>
      <c r="F426">
        <v>3</v>
      </c>
      <c r="G426" t="s">
        <v>72</v>
      </c>
      <c r="H426">
        <v>9</v>
      </c>
      <c r="I426">
        <v>149</v>
      </c>
      <c r="J426">
        <v>4381.5015009999997</v>
      </c>
      <c r="K426" t="s">
        <v>74</v>
      </c>
      <c r="L426" t="str">
        <f>_xlfn.XLOOKUP(tblCategorySales[[#This Row],[SalesPersonID]],tblSalespersonSummary[SalesPersonID],tblSalespersonSummary[SalespersonName],"Not found")</f>
        <v>Tete Mensa-Annan</v>
      </c>
      <c r="M426" t="str">
        <f>IF(tblCategorySales[[#This Row],[SalespersonName]]=tblCategorySales[[#This Row],[ExpectedSalespersonName]],"Match","Mismatch")</f>
        <v>Match</v>
      </c>
    </row>
    <row r="427" spans="1:13" x14ac:dyDescent="0.3">
      <c r="A427">
        <v>284</v>
      </c>
      <c r="B427" t="s">
        <v>50</v>
      </c>
      <c r="C427" t="s">
        <v>16</v>
      </c>
      <c r="D427">
        <v>2013</v>
      </c>
      <c r="E427">
        <v>2</v>
      </c>
      <c r="F427">
        <v>2</v>
      </c>
      <c r="G427" t="s">
        <v>73</v>
      </c>
      <c r="H427">
        <v>15</v>
      </c>
      <c r="I427">
        <v>228</v>
      </c>
      <c r="J427">
        <v>56699.612099999998</v>
      </c>
      <c r="K427" t="s">
        <v>74</v>
      </c>
      <c r="L427" t="str">
        <f>_xlfn.XLOOKUP(tblCategorySales[[#This Row],[SalesPersonID]],tblSalespersonSummary[SalesPersonID],tblSalespersonSummary[SalespersonName],"Not found")</f>
        <v>Tete Mensa-Annan</v>
      </c>
      <c r="M427" t="str">
        <f>IF(tblCategorySales[[#This Row],[SalespersonName]]=tblCategorySales[[#This Row],[ExpectedSalespersonName]],"Match","Mismatch")</f>
        <v>Match</v>
      </c>
    </row>
    <row r="428" spans="1:13" x14ac:dyDescent="0.3">
      <c r="A428">
        <v>279</v>
      </c>
      <c r="B428" t="s">
        <v>34</v>
      </c>
      <c r="C428" t="s">
        <v>35</v>
      </c>
      <c r="D428">
        <v>2013</v>
      </c>
      <c r="E428">
        <v>2</v>
      </c>
      <c r="F428">
        <v>4</v>
      </c>
      <c r="G428" t="s">
        <v>70</v>
      </c>
      <c r="H428">
        <v>12</v>
      </c>
      <c r="I428">
        <v>303</v>
      </c>
      <c r="J428">
        <v>6076.8209999999999</v>
      </c>
      <c r="K428" t="s">
        <v>74</v>
      </c>
      <c r="L428" t="str">
        <f>_xlfn.XLOOKUP(tblCategorySales[[#This Row],[SalesPersonID]],tblSalespersonSummary[SalesPersonID],tblSalespersonSummary[SalespersonName],"Not found")</f>
        <v>Tsvi Reiter</v>
      </c>
      <c r="M428" t="str">
        <f>IF(tblCategorySales[[#This Row],[SalespersonName]]=tblCategorySales[[#This Row],[ExpectedSalespersonName]],"Match","Mismatch")</f>
        <v>Match</v>
      </c>
    </row>
    <row r="429" spans="1:13" x14ac:dyDescent="0.3">
      <c r="A429">
        <v>279</v>
      </c>
      <c r="B429" t="s">
        <v>34</v>
      </c>
      <c r="C429" t="s">
        <v>35</v>
      </c>
      <c r="D429">
        <v>2013</v>
      </c>
      <c r="E429">
        <v>2</v>
      </c>
      <c r="F429">
        <v>1</v>
      </c>
      <c r="G429" t="s">
        <v>71</v>
      </c>
      <c r="H429">
        <v>30</v>
      </c>
      <c r="I429">
        <v>543</v>
      </c>
      <c r="J429">
        <v>447712.36545099999</v>
      </c>
      <c r="K429" t="s">
        <v>74</v>
      </c>
      <c r="L429" t="str">
        <f>_xlfn.XLOOKUP(tblCategorySales[[#This Row],[SalesPersonID]],tblSalespersonSummary[SalesPersonID],tblSalespersonSummary[SalespersonName],"Not found")</f>
        <v>Tsvi Reiter</v>
      </c>
      <c r="M429" t="str">
        <f>IF(tblCategorySales[[#This Row],[SalespersonName]]=tblCategorySales[[#This Row],[ExpectedSalespersonName]],"Match","Mismatch")</f>
        <v>Match</v>
      </c>
    </row>
    <row r="430" spans="1:13" x14ac:dyDescent="0.3">
      <c r="A430">
        <v>279</v>
      </c>
      <c r="B430" t="s">
        <v>34</v>
      </c>
      <c r="C430" t="s">
        <v>35</v>
      </c>
      <c r="D430">
        <v>2013</v>
      </c>
      <c r="E430">
        <v>2</v>
      </c>
      <c r="F430">
        <v>3</v>
      </c>
      <c r="G430" t="s">
        <v>72</v>
      </c>
      <c r="H430">
        <v>22</v>
      </c>
      <c r="I430">
        <v>785</v>
      </c>
      <c r="J430">
        <v>21817.831976000001</v>
      </c>
      <c r="K430" t="s">
        <v>74</v>
      </c>
      <c r="L430" t="str">
        <f>_xlfn.XLOOKUP(tblCategorySales[[#This Row],[SalesPersonID]],tblSalespersonSummary[SalesPersonID],tblSalespersonSummary[SalespersonName],"Not found")</f>
        <v>Tsvi Reiter</v>
      </c>
      <c r="M430" t="str">
        <f>IF(tblCategorySales[[#This Row],[SalespersonName]]=tblCategorySales[[#This Row],[ExpectedSalespersonName]],"Match","Mismatch")</f>
        <v>Match</v>
      </c>
    </row>
    <row r="431" spans="1:13" x14ac:dyDescent="0.3">
      <c r="A431">
        <v>279</v>
      </c>
      <c r="B431" t="s">
        <v>34</v>
      </c>
      <c r="C431" t="s">
        <v>35</v>
      </c>
      <c r="D431">
        <v>2013</v>
      </c>
      <c r="E431">
        <v>2</v>
      </c>
      <c r="F431">
        <v>2</v>
      </c>
      <c r="G431" t="s">
        <v>73</v>
      </c>
      <c r="H431">
        <v>31</v>
      </c>
      <c r="I431">
        <v>556</v>
      </c>
      <c r="J431">
        <v>118822.59600000001</v>
      </c>
      <c r="K431" t="s">
        <v>74</v>
      </c>
      <c r="L431" t="str">
        <f>_xlfn.XLOOKUP(tblCategorySales[[#This Row],[SalesPersonID]],tblSalespersonSummary[SalesPersonID],tblSalespersonSummary[SalespersonName],"Not found")</f>
        <v>Tsvi Reiter</v>
      </c>
      <c r="M431" t="str">
        <f>IF(tblCategorySales[[#This Row],[SalespersonName]]=tblCategorySales[[#This Row],[ExpectedSalespersonName]],"Match","Mismatch")</f>
        <v>Match</v>
      </c>
    </row>
    <row r="432" spans="1:13" x14ac:dyDescent="0.3">
      <c r="A432">
        <v>287</v>
      </c>
      <c r="B432" t="s">
        <v>42</v>
      </c>
      <c r="C432" t="s">
        <v>33</v>
      </c>
      <c r="D432">
        <v>2013</v>
      </c>
      <c r="E432">
        <v>3</v>
      </c>
      <c r="F432">
        <v>4</v>
      </c>
      <c r="G432" t="s">
        <v>70</v>
      </c>
      <c r="H432">
        <v>1</v>
      </c>
      <c r="I432">
        <v>3</v>
      </c>
      <c r="J432">
        <v>216</v>
      </c>
      <c r="K432" t="s">
        <v>74</v>
      </c>
      <c r="L432" t="str">
        <f>_xlfn.XLOOKUP(tblCategorySales[[#This Row],[SalesPersonID]],tblSalespersonSummary[SalesPersonID],tblSalespersonSummary[SalespersonName],"Not found")</f>
        <v>Amy Alberts</v>
      </c>
      <c r="M432" t="str">
        <f>IF(tblCategorySales[[#This Row],[SalespersonName]]=tblCategorySales[[#This Row],[ExpectedSalespersonName]],"Match","Mismatch")</f>
        <v>Match</v>
      </c>
    </row>
    <row r="433" spans="1:13" x14ac:dyDescent="0.3">
      <c r="A433">
        <v>287</v>
      </c>
      <c r="B433" t="s">
        <v>42</v>
      </c>
      <c r="C433" t="s">
        <v>33</v>
      </c>
      <c r="D433">
        <v>2013</v>
      </c>
      <c r="E433">
        <v>3</v>
      </c>
      <c r="F433">
        <v>1</v>
      </c>
      <c r="G433" t="s">
        <v>71</v>
      </c>
      <c r="H433">
        <v>8</v>
      </c>
      <c r="I433">
        <v>92</v>
      </c>
      <c r="J433">
        <v>80955.202875000003</v>
      </c>
      <c r="K433" t="s">
        <v>74</v>
      </c>
      <c r="L433" t="str">
        <f>_xlfn.XLOOKUP(tblCategorySales[[#This Row],[SalesPersonID]],tblSalespersonSummary[SalesPersonID],tblSalespersonSummary[SalespersonName],"Not found")</f>
        <v>Amy Alberts</v>
      </c>
      <c r="M433" t="str">
        <f>IF(tblCategorySales[[#This Row],[SalespersonName]]=tblCategorySales[[#This Row],[ExpectedSalespersonName]],"Match","Mismatch")</f>
        <v>Match</v>
      </c>
    </row>
    <row r="434" spans="1:13" x14ac:dyDescent="0.3">
      <c r="A434">
        <v>287</v>
      </c>
      <c r="B434" t="s">
        <v>42</v>
      </c>
      <c r="C434" t="s">
        <v>33</v>
      </c>
      <c r="D434">
        <v>2013</v>
      </c>
      <c r="E434">
        <v>3</v>
      </c>
      <c r="F434">
        <v>3</v>
      </c>
      <c r="G434" t="s">
        <v>72</v>
      </c>
      <c r="H434">
        <v>3</v>
      </c>
      <c r="I434">
        <v>48</v>
      </c>
      <c r="J434">
        <v>1726.718175</v>
      </c>
      <c r="K434" t="s">
        <v>74</v>
      </c>
      <c r="L434" t="str">
        <f>_xlfn.XLOOKUP(tblCategorySales[[#This Row],[SalesPersonID]],tblSalespersonSummary[SalesPersonID],tblSalespersonSummary[SalespersonName],"Not found")</f>
        <v>Amy Alberts</v>
      </c>
      <c r="M434" t="str">
        <f>IF(tblCategorySales[[#This Row],[SalespersonName]]=tblCategorySales[[#This Row],[ExpectedSalespersonName]],"Match","Mismatch")</f>
        <v>Match</v>
      </c>
    </row>
    <row r="435" spans="1:13" x14ac:dyDescent="0.3">
      <c r="A435">
        <v>287</v>
      </c>
      <c r="B435" t="s">
        <v>42</v>
      </c>
      <c r="C435" t="s">
        <v>33</v>
      </c>
      <c r="D435">
        <v>2013</v>
      </c>
      <c r="E435">
        <v>3</v>
      </c>
      <c r="F435">
        <v>2</v>
      </c>
      <c r="G435" t="s">
        <v>73</v>
      </c>
      <c r="H435">
        <v>4</v>
      </c>
      <c r="I435">
        <v>66</v>
      </c>
      <c r="J435">
        <v>7323.84</v>
      </c>
      <c r="K435" t="s">
        <v>74</v>
      </c>
      <c r="L435" t="str">
        <f>_xlfn.XLOOKUP(tblCategorySales[[#This Row],[SalesPersonID]],tblSalespersonSummary[SalesPersonID],tblSalespersonSummary[SalespersonName],"Not found")</f>
        <v>Amy Alberts</v>
      </c>
      <c r="M435" t="str">
        <f>IF(tblCategorySales[[#This Row],[SalespersonName]]=tblCategorySales[[#This Row],[ExpectedSalespersonName]],"Match","Mismatch")</f>
        <v>Match</v>
      </c>
    </row>
    <row r="436" spans="1:13" x14ac:dyDescent="0.3">
      <c r="A436">
        <v>283</v>
      </c>
      <c r="B436" t="s">
        <v>15</v>
      </c>
      <c r="C436" t="s">
        <v>16</v>
      </c>
      <c r="D436">
        <v>2013</v>
      </c>
      <c r="E436">
        <v>3</v>
      </c>
      <c r="F436">
        <v>4</v>
      </c>
      <c r="G436" t="s">
        <v>70</v>
      </c>
      <c r="H436">
        <v>6</v>
      </c>
      <c r="I436">
        <v>128</v>
      </c>
      <c r="J436">
        <v>3467.3241079999998</v>
      </c>
      <c r="K436" t="s">
        <v>75</v>
      </c>
      <c r="L436" t="str">
        <f>_xlfn.XLOOKUP(tblCategorySales[[#This Row],[SalesPersonID]],tblSalespersonSummary[SalesPersonID],tblSalespersonSummary[SalespersonName],"Not found")</f>
        <v>David Campbell</v>
      </c>
      <c r="M436" t="str">
        <f>IF(tblCategorySales[[#This Row],[SalespersonName]]=tblCategorySales[[#This Row],[ExpectedSalespersonName]],"Match","Mismatch")</f>
        <v>Match</v>
      </c>
    </row>
    <row r="437" spans="1:13" x14ac:dyDescent="0.3">
      <c r="A437">
        <v>283</v>
      </c>
      <c r="B437" t="s">
        <v>15</v>
      </c>
      <c r="C437" t="s">
        <v>16</v>
      </c>
      <c r="D437">
        <v>2013</v>
      </c>
      <c r="E437">
        <v>3</v>
      </c>
      <c r="F437">
        <v>1</v>
      </c>
      <c r="G437" t="s">
        <v>71</v>
      </c>
      <c r="H437">
        <v>16</v>
      </c>
      <c r="I437">
        <v>372</v>
      </c>
      <c r="J437">
        <v>298953.00283200003</v>
      </c>
      <c r="K437" t="s">
        <v>75</v>
      </c>
      <c r="L437" t="str">
        <f>_xlfn.XLOOKUP(tblCategorySales[[#This Row],[SalesPersonID]],tblSalespersonSummary[SalesPersonID],tblSalespersonSummary[SalespersonName],"Not found")</f>
        <v>David Campbell</v>
      </c>
      <c r="M437" t="str">
        <f>IF(tblCategorySales[[#This Row],[SalespersonName]]=tblCategorySales[[#This Row],[ExpectedSalespersonName]],"Match","Mismatch")</f>
        <v>Match</v>
      </c>
    </row>
    <row r="438" spans="1:13" x14ac:dyDescent="0.3">
      <c r="A438">
        <v>283</v>
      </c>
      <c r="B438" t="s">
        <v>15</v>
      </c>
      <c r="C438" t="s">
        <v>16</v>
      </c>
      <c r="D438">
        <v>2013</v>
      </c>
      <c r="E438">
        <v>3</v>
      </c>
      <c r="F438">
        <v>3</v>
      </c>
      <c r="G438" t="s">
        <v>72</v>
      </c>
      <c r="H438">
        <v>8</v>
      </c>
      <c r="I438">
        <v>269</v>
      </c>
      <c r="J438">
        <v>8374.0782839999993</v>
      </c>
      <c r="K438" t="s">
        <v>75</v>
      </c>
      <c r="L438" t="str">
        <f>_xlfn.XLOOKUP(tblCategorySales[[#This Row],[SalesPersonID]],tblSalespersonSummary[SalesPersonID],tblSalespersonSummary[SalespersonName],"Not found")</f>
        <v>David Campbell</v>
      </c>
      <c r="M438" t="str">
        <f>IF(tblCategorySales[[#This Row],[SalespersonName]]=tblCategorySales[[#This Row],[ExpectedSalespersonName]],"Match","Mismatch")</f>
        <v>Match</v>
      </c>
    </row>
    <row r="439" spans="1:13" x14ac:dyDescent="0.3">
      <c r="A439">
        <v>283</v>
      </c>
      <c r="B439" t="s">
        <v>15</v>
      </c>
      <c r="C439" t="s">
        <v>16</v>
      </c>
      <c r="D439">
        <v>2013</v>
      </c>
      <c r="E439">
        <v>3</v>
      </c>
      <c r="F439">
        <v>2</v>
      </c>
      <c r="G439" t="s">
        <v>73</v>
      </c>
      <c r="H439">
        <v>16</v>
      </c>
      <c r="I439">
        <v>404</v>
      </c>
      <c r="J439">
        <v>87463.584000000003</v>
      </c>
      <c r="K439" t="s">
        <v>75</v>
      </c>
      <c r="L439" t="str">
        <f>_xlfn.XLOOKUP(tblCategorySales[[#This Row],[SalesPersonID]],tblSalespersonSummary[SalesPersonID],tblSalespersonSummary[SalespersonName],"Not found")</f>
        <v>David Campbell</v>
      </c>
      <c r="M439" t="str">
        <f>IF(tblCategorySales[[#This Row],[SalespersonName]]=tblCategorySales[[#This Row],[ExpectedSalespersonName]],"Match","Mismatch")</f>
        <v>Match</v>
      </c>
    </row>
    <row r="440" spans="1:13" x14ac:dyDescent="0.3">
      <c r="A440">
        <v>278</v>
      </c>
      <c r="B440" t="s">
        <v>21</v>
      </c>
      <c r="C440" t="s">
        <v>22</v>
      </c>
      <c r="D440">
        <v>2013</v>
      </c>
      <c r="E440">
        <v>3</v>
      </c>
      <c r="F440">
        <v>4</v>
      </c>
      <c r="G440" t="s">
        <v>70</v>
      </c>
      <c r="H440">
        <v>12</v>
      </c>
      <c r="I440">
        <v>362</v>
      </c>
      <c r="J440">
        <v>9176.2759480000004</v>
      </c>
      <c r="K440" t="s">
        <v>74</v>
      </c>
      <c r="L440" t="str">
        <f>_xlfn.XLOOKUP(tblCategorySales[[#This Row],[SalesPersonID]],tblSalespersonSummary[SalesPersonID],tblSalespersonSummary[SalespersonName],"Not found")</f>
        <v>Garrett Vargas</v>
      </c>
      <c r="M440" t="str">
        <f>IF(tblCategorySales[[#This Row],[SalespersonName]]=tblCategorySales[[#This Row],[ExpectedSalespersonName]],"Match","Mismatch")</f>
        <v>Match</v>
      </c>
    </row>
    <row r="441" spans="1:13" x14ac:dyDescent="0.3">
      <c r="A441">
        <v>278</v>
      </c>
      <c r="B441" t="s">
        <v>21</v>
      </c>
      <c r="C441" t="s">
        <v>22</v>
      </c>
      <c r="D441">
        <v>2013</v>
      </c>
      <c r="E441">
        <v>3</v>
      </c>
      <c r="F441">
        <v>1</v>
      </c>
      <c r="G441" t="s">
        <v>71</v>
      </c>
      <c r="H441">
        <v>20</v>
      </c>
      <c r="I441">
        <v>372</v>
      </c>
      <c r="J441">
        <v>306218.48172500002</v>
      </c>
      <c r="K441" t="s">
        <v>74</v>
      </c>
      <c r="L441" t="str">
        <f>_xlfn.XLOOKUP(tblCategorySales[[#This Row],[SalesPersonID]],tblSalespersonSummary[SalesPersonID],tblSalespersonSummary[SalespersonName],"Not found")</f>
        <v>Garrett Vargas</v>
      </c>
      <c r="M441" t="str">
        <f>IF(tblCategorySales[[#This Row],[SalespersonName]]=tblCategorySales[[#This Row],[ExpectedSalespersonName]],"Match","Mismatch")</f>
        <v>Match</v>
      </c>
    </row>
    <row r="442" spans="1:13" x14ac:dyDescent="0.3">
      <c r="A442">
        <v>278</v>
      </c>
      <c r="B442" t="s">
        <v>21</v>
      </c>
      <c r="C442" t="s">
        <v>22</v>
      </c>
      <c r="D442">
        <v>2013</v>
      </c>
      <c r="E442">
        <v>3</v>
      </c>
      <c r="F442">
        <v>3</v>
      </c>
      <c r="G442" t="s">
        <v>72</v>
      </c>
      <c r="H442">
        <v>16</v>
      </c>
      <c r="I442">
        <v>590</v>
      </c>
      <c r="J442">
        <v>15609.623421</v>
      </c>
      <c r="K442" t="s">
        <v>74</v>
      </c>
      <c r="L442" t="str">
        <f>_xlfn.XLOOKUP(tblCategorySales[[#This Row],[SalesPersonID]],tblSalespersonSummary[SalesPersonID],tblSalespersonSummary[SalespersonName],"Not found")</f>
        <v>Garrett Vargas</v>
      </c>
      <c r="M442" t="str">
        <f>IF(tblCategorySales[[#This Row],[SalespersonName]]=tblCategorySales[[#This Row],[ExpectedSalespersonName]],"Match","Mismatch")</f>
        <v>Match</v>
      </c>
    </row>
    <row r="443" spans="1:13" x14ac:dyDescent="0.3">
      <c r="A443">
        <v>278</v>
      </c>
      <c r="B443" t="s">
        <v>21</v>
      </c>
      <c r="C443" t="s">
        <v>22</v>
      </c>
      <c r="D443">
        <v>2013</v>
      </c>
      <c r="E443">
        <v>3</v>
      </c>
      <c r="F443">
        <v>2</v>
      </c>
      <c r="G443" t="s">
        <v>73</v>
      </c>
      <c r="H443">
        <v>23</v>
      </c>
      <c r="I443">
        <v>287</v>
      </c>
      <c r="J443">
        <v>62783.142</v>
      </c>
      <c r="K443" t="s">
        <v>74</v>
      </c>
      <c r="L443" t="str">
        <f>_xlfn.XLOOKUP(tblCategorySales[[#This Row],[SalesPersonID]],tblSalespersonSummary[SalesPersonID],tblSalespersonSummary[SalespersonName],"Not found")</f>
        <v>Garrett Vargas</v>
      </c>
      <c r="M443" t="str">
        <f>IF(tblCategorySales[[#This Row],[SalespersonName]]=tblCategorySales[[#This Row],[ExpectedSalespersonName]],"Match","Mismatch")</f>
        <v>Match</v>
      </c>
    </row>
    <row r="444" spans="1:13" x14ac:dyDescent="0.3">
      <c r="A444">
        <v>289</v>
      </c>
      <c r="B444" t="s">
        <v>44</v>
      </c>
      <c r="C444" t="s">
        <v>45</v>
      </c>
      <c r="D444">
        <v>2013</v>
      </c>
      <c r="E444">
        <v>3</v>
      </c>
      <c r="F444">
        <v>4</v>
      </c>
      <c r="G444" t="s">
        <v>70</v>
      </c>
      <c r="H444">
        <v>17</v>
      </c>
      <c r="I444">
        <v>489</v>
      </c>
      <c r="J444">
        <v>11798.686527</v>
      </c>
      <c r="K444" t="s">
        <v>74</v>
      </c>
      <c r="L444" t="str">
        <f>_xlfn.XLOOKUP(tblCategorySales[[#This Row],[SalesPersonID]],tblSalespersonSummary[SalesPersonID],tblSalespersonSummary[SalespersonName],"Not found")</f>
        <v>Jae Pak</v>
      </c>
      <c r="M444" t="str">
        <f>IF(tblCategorySales[[#This Row],[SalespersonName]]=tblCategorySales[[#This Row],[ExpectedSalespersonName]],"Match","Mismatch")</f>
        <v>Match</v>
      </c>
    </row>
    <row r="445" spans="1:13" x14ac:dyDescent="0.3">
      <c r="A445">
        <v>289</v>
      </c>
      <c r="B445" t="s">
        <v>44</v>
      </c>
      <c r="C445" t="s">
        <v>45</v>
      </c>
      <c r="D445">
        <v>2013</v>
      </c>
      <c r="E445">
        <v>3</v>
      </c>
      <c r="F445">
        <v>1</v>
      </c>
      <c r="G445" t="s">
        <v>71</v>
      </c>
      <c r="H445">
        <v>38</v>
      </c>
      <c r="I445">
        <v>947</v>
      </c>
      <c r="J445">
        <v>776744.46579399996</v>
      </c>
      <c r="K445" t="s">
        <v>74</v>
      </c>
      <c r="L445" t="str">
        <f>_xlfn.XLOOKUP(tblCategorySales[[#This Row],[SalesPersonID]],tblSalespersonSummary[SalesPersonID],tblSalespersonSummary[SalespersonName],"Not found")</f>
        <v>Jae Pak</v>
      </c>
      <c r="M445" t="str">
        <f>IF(tblCategorySales[[#This Row],[SalespersonName]]=tblCategorySales[[#This Row],[ExpectedSalespersonName]],"Match","Mismatch")</f>
        <v>Match</v>
      </c>
    </row>
    <row r="446" spans="1:13" x14ac:dyDescent="0.3">
      <c r="A446">
        <v>289</v>
      </c>
      <c r="B446" t="s">
        <v>44</v>
      </c>
      <c r="C446" t="s">
        <v>45</v>
      </c>
      <c r="D446">
        <v>2013</v>
      </c>
      <c r="E446">
        <v>3</v>
      </c>
      <c r="F446">
        <v>3</v>
      </c>
      <c r="G446" t="s">
        <v>72</v>
      </c>
      <c r="H446">
        <v>34</v>
      </c>
      <c r="I446">
        <v>1244</v>
      </c>
      <c r="J446">
        <v>34368.677282999997</v>
      </c>
      <c r="K446" t="s">
        <v>74</v>
      </c>
      <c r="L446" t="str">
        <f>_xlfn.XLOOKUP(tblCategorySales[[#This Row],[SalesPersonID]],tblSalespersonSummary[SalesPersonID],tblSalespersonSummary[SalespersonName],"Not found")</f>
        <v>Jae Pak</v>
      </c>
      <c r="M446" t="str">
        <f>IF(tblCategorySales[[#This Row],[SalespersonName]]=tblCategorySales[[#This Row],[ExpectedSalespersonName]],"Match","Mismatch")</f>
        <v>Match</v>
      </c>
    </row>
    <row r="447" spans="1:13" x14ac:dyDescent="0.3">
      <c r="A447">
        <v>289</v>
      </c>
      <c r="B447" t="s">
        <v>44</v>
      </c>
      <c r="C447" t="s">
        <v>45</v>
      </c>
      <c r="D447">
        <v>2013</v>
      </c>
      <c r="E447">
        <v>3</v>
      </c>
      <c r="F447">
        <v>2</v>
      </c>
      <c r="G447" t="s">
        <v>73</v>
      </c>
      <c r="H447">
        <v>35</v>
      </c>
      <c r="I447">
        <v>982</v>
      </c>
      <c r="J447">
        <v>211132.095634</v>
      </c>
      <c r="K447" t="s">
        <v>74</v>
      </c>
      <c r="L447" t="str">
        <f>_xlfn.XLOOKUP(tblCategorySales[[#This Row],[SalesPersonID]],tblSalespersonSummary[SalesPersonID],tblSalespersonSummary[SalespersonName],"Not found")</f>
        <v>Jae Pak</v>
      </c>
      <c r="M447" t="str">
        <f>IF(tblCategorySales[[#This Row],[SalespersonName]]=tblCategorySales[[#This Row],[ExpectedSalespersonName]],"Match","Mismatch")</f>
        <v>Match</v>
      </c>
    </row>
    <row r="448" spans="1:13" x14ac:dyDescent="0.3">
      <c r="A448">
        <v>277</v>
      </c>
      <c r="B448" t="s">
        <v>23</v>
      </c>
      <c r="C448" t="s">
        <v>24</v>
      </c>
      <c r="D448">
        <v>2013</v>
      </c>
      <c r="E448">
        <v>3</v>
      </c>
      <c r="F448">
        <v>4</v>
      </c>
      <c r="G448" t="s">
        <v>70</v>
      </c>
      <c r="H448">
        <v>21</v>
      </c>
      <c r="I448">
        <v>652</v>
      </c>
      <c r="J448">
        <v>15933.084831</v>
      </c>
      <c r="K448" t="s">
        <v>74</v>
      </c>
      <c r="L448" t="str">
        <f>_xlfn.XLOOKUP(tblCategorySales[[#This Row],[SalesPersonID]],tblSalespersonSummary[SalesPersonID],tblSalespersonSummary[SalespersonName],"Not found")</f>
        <v>Jillian Carson</v>
      </c>
      <c r="M448" t="str">
        <f>IF(tblCategorySales[[#This Row],[SalespersonName]]=tblCategorySales[[#This Row],[ExpectedSalespersonName]],"Match","Mismatch")</f>
        <v>Match</v>
      </c>
    </row>
    <row r="449" spans="1:13" x14ac:dyDescent="0.3">
      <c r="A449">
        <v>277</v>
      </c>
      <c r="B449" t="s">
        <v>23</v>
      </c>
      <c r="C449" t="s">
        <v>24</v>
      </c>
      <c r="D449">
        <v>2013</v>
      </c>
      <c r="E449">
        <v>3</v>
      </c>
      <c r="F449">
        <v>1</v>
      </c>
      <c r="G449" t="s">
        <v>71</v>
      </c>
      <c r="H449">
        <v>38</v>
      </c>
      <c r="I449">
        <v>821</v>
      </c>
      <c r="J449">
        <v>659138.86642600002</v>
      </c>
      <c r="K449" t="s">
        <v>74</v>
      </c>
      <c r="L449" t="str">
        <f>_xlfn.XLOOKUP(tblCategorySales[[#This Row],[SalesPersonID]],tblSalespersonSummary[SalesPersonID],tblSalespersonSummary[SalespersonName],"Not found")</f>
        <v>Jillian Carson</v>
      </c>
      <c r="M449" t="str">
        <f>IF(tblCategorySales[[#This Row],[SalespersonName]]=tblCategorySales[[#This Row],[ExpectedSalespersonName]],"Match","Mismatch")</f>
        <v>Match</v>
      </c>
    </row>
    <row r="450" spans="1:13" x14ac:dyDescent="0.3">
      <c r="A450">
        <v>277</v>
      </c>
      <c r="B450" t="s">
        <v>23</v>
      </c>
      <c r="C450" t="s">
        <v>24</v>
      </c>
      <c r="D450">
        <v>2013</v>
      </c>
      <c r="E450">
        <v>3</v>
      </c>
      <c r="F450">
        <v>3</v>
      </c>
      <c r="G450" t="s">
        <v>72</v>
      </c>
      <c r="H450">
        <v>32</v>
      </c>
      <c r="I450">
        <v>1341</v>
      </c>
      <c r="J450">
        <v>34916.468396999997</v>
      </c>
      <c r="K450" t="s">
        <v>74</v>
      </c>
      <c r="L450" t="str">
        <f>_xlfn.XLOOKUP(tblCategorySales[[#This Row],[SalesPersonID]],tblSalespersonSummary[SalesPersonID],tblSalespersonSummary[SalespersonName],"Not found")</f>
        <v>Jillian Carson</v>
      </c>
      <c r="M450" t="str">
        <f>IF(tblCategorySales[[#This Row],[SalespersonName]]=tblCategorySales[[#This Row],[ExpectedSalespersonName]],"Match","Mismatch")</f>
        <v>Match</v>
      </c>
    </row>
    <row r="451" spans="1:13" x14ac:dyDescent="0.3">
      <c r="A451">
        <v>277</v>
      </c>
      <c r="B451" t="s">
        <v>23</v>
      </c>
      <c r="C451" t="s">
        <v>24</v>
      </c>
      <c r="D451">
        <v>2013</v>
      </c>
      <c r="E451">
        <v>3</v>
      </c>
      <c r="F451">
        <v>2</v>
      </c>
      <c r="G451" t="s">
        <v>73</v>
      </c>
      <c r="H451">
        <v>41</v>
      </c>
      <c r="I451">
        <v>757</v>
      </c>
      <c r="J451">
        <v>174067.71599999999</v>
      </c>
      <c r="K451" t="s">
        <v>74</v>
      </c>
      <c r="L451" t="str">
        <f>_xlfn.XLOOKUP(tblCategorySales[[#This Row],[SalesPersonID]],tblSalespersonSummary[SalesPersonID],tblSalespersonSummary[SalespersonName],"Not found")</f>
        <v>Jillian Carson</v>
      </c>
      <c r="M451" t="str">
        <f>IF(tblCategorySales[[#This Row],[SalespersonName]]=tblCategorySales[[#This Row],[ExpectedSalespersonName]],"Match","Mismatch")</f>
        <v>Match</v>
      </c>
    </row>
    <row r="452" spans="1:13" x14ac:dyDescent="0.3">
      <c r="A452">
        <v>282</v>
      </c>
      <c r="B452" t="s">
        <v>25</v>
      </c>
      <c r="C452" t="s">
        <v>22</v>
      </c>
      <c r="D452">
        <v>2013</v>
      </c>
      <c r="E452">
        <v>3</v>
      </c>
      <c r="F452">
        <v>4</v>
      </c>
      <c r="G452" t="s">
        <v>70</v>
      </c>
      <c r="H452">
        <v>14</v>
      </c>
      <c r="I452">
        <v>433</v>
      </c>
      <c r="J452">
        <v>11541.735307999999</v>
      </c>
      <c r="K452" t="s">
        <v>75</v>
      </c>
      <c r="L452" t="str">
        <f>_xlfn.XLOOKUP(tblCategorySales[[#This Row],[SalesPersonID]],tblSalespersonSummary[SalesPersonID],tblSalespersonSummary[SalespersonName],"Not found")</f>
        <v>José Saraiva</v>
      </c>
      <c r="M452" t="str">
        <f>IF(tblCategorySales[[#This Row],[SalespersonName]]=tblCategorySales[[#This Row],[ExpectedSalespersonName]],"Match","Mismatch")</f>
        <v>Match</v>
      </c>
    </row>
    <row r="453" spans="1:13" x14ac:dyDescent="0.3">
      <c r="A453">
        <v>282</v>
      </c>
      <c r="B453" t="s">
        <v>25</v>
      </c>
      <c r="C453" t="s">
        <v>22</v>
      </c>
      <c r="D453">
        <v>2013</v>
      </c>
      <c r="E453">
        <v>3</v>
      </c>
      <c r="F453">
        <v>1</v>
      </c>
      <c r="G453" t="s">
        <v>71</v>
      </c>
      <c r="H453">
        <v>22</v>
      </c>
      <c r="I453">
        <v>712</v>
      </c>
      <c r="J453">
        <v>555406.17931799998</v>
      </c>
      <c r="K453" t="s">
        <v>75</v>
      </c>
      <c r="L453" t="str">
        <f>_xlfn.XLOOKUP(tblCategorySales[[#This Row],[SalesPersonID]],tblSalespersonSummary[SalesPersonID],tblSalespersonSummary[SalespersonName],"Not found")</f>
        <v>José Saraiva</v>
      </c>
      <c r="M453" t="str">
        <f>IF(tblCategorySales[[#This Row],[SalespersonName]]=tblCategorySales[[#This Row],[ExpectedSalespersonName]],"Match","Mismatch")</f>
        <v>Match</v>
      </c>
    </row>
    <row r="454" spans="1:13" x14ac:dyDescent="0.3">
      <c r="A454">
        <v>282</v>
      </c>
      <c r="B454" t="s">
        <v>25</v>
      </c>
      <c r="C454" t="s">
        <v>22</v>
      </c>
      <c r="D454">
        <v>2013</v>
      </c>
      <c r="E454">
        <v>3</v>
      </c>
      <c r="F454">
        <v>3</v>
      </c>
      <c r="G454" t="s">
        <v>72</v>
      </c>
      <c r="H454">
        <v>18</v>
      </c>
      <c r="I454">
        <v>859</v>
      </c>
      <c r="J454">
        <v>22257.463876999998</v>
      </c>
      <c r="K454" t="s">
        <v>75</v>
      </c>
      <c r="L454" t="str">
        <f>_xlfn.XLOOKUP(tblCategorySales[[#This Row],[SalesPersonID]],tblSalespersonSummary[SalesPersonID],tblSalespersonSummary[SalespersonName],"Not found")</f>
        <v>José Saraiva</v>
      </c>
      <c r="M454" t="str">
        <f>IF(tblCategorySales[[#This Row],[SalespersonName]]=tblCategorySales[[#This Row],[ExpectedSalespersonName]],"Match","Mismatch")</f>
        <v>Match</v>
      </c>
    </row>
    <row r="455" spans="1:13" x14ac:dyDescent="0.3">
      <c r="A455">
        <v>282</v>
      </c>
      <c r="B455" t="s">
        <v>25</v>
      </c>
      <c r="C455" t="s">
        <v>22</v>
      </c>
      <c r="D455">
        <v>2013</v>
      </c>
      <c r="E455">
        <v>3</v>
      </c>
      <c r="F455">
        <v>2</v>
      </c>
      <c r="G455" t="s">
        <v>73</v>
      </c>
      <c r="H455">
        <v>21</v>
      </c>
      <c r="I455">
        <v>646</v>
      </c>
      <c r="J455">
        <v>159224.57708399999</v>
      </c>
      <c r="K455" t="s">
        <v>75</v>
      </c>
      <c r="L455" t="str">
        <f>_xlfn.XLOOKUP(tblCategorySales[[#This Row],[SalesPersonID]],tblSalespersonSummary[SalesPersonID],tblSalespersonSummary[SalespersonName],"Not found")</f>
        <v>José Saraiva</v>
      </c>
      <c r="M455" t="str">
        <f>IF(tblCategorySales[[#This Row],[SalespersonName]]=tblCategorySales[[#This Row],[ExpectedSalespersonName]],"Match","Mismatch")</f>
        <v>Match</v>
      </c>
    </row>
    <row r="456" spans="1:13" x14ac:dyDescent="0.3">
      <c r="A456">
        <v>276</v>
      </c>
      <c r="B456" t="s">
        <v>26</v>
      </c>
      <c r="C456" t="s">
        <v>27</v>
      </c>
      <c r="D456">
        <v>2013</v>
      </c>
      <c r="E456">
        <v>3</v>
      </c>
      <c r="F456">
        <v>4</v>
      </c>
      <c r="G456" t="s">
        <v>70</v>
      </c>
      <c r="H456">
        <v>17</v>
      </c>
      <c r="I456">
        <v>576</v>
      </c>
      <c r="J456">
        <v>14040.513440000001</v>
      </c>
      <c r="K456" t="s">
        <v>74</v>
      </c>
      <c r="L456" t="str">
        <f>_xlfn.XLOOKUP(tblCategorySales[[#This Row],[SalesPersonID]],tblSalespersonSummary[SalesPersonID],tblSalespersonSummary[SalespersonName],"Not found")</f>
        <v>Linda Mitchell</v>
      </c>
      <c r="M456" t="str">
        <f>IF(tblCategorySales[[#This Row],[SalespersonName]]=tblCategorySales[[#This Row],[ExpectedSalespersonName]],"Match","Mismatch")</f>
        <v>Match</v>
      </c>
    </row>
    <row r="457" spans="1:13" x14ac:dyDescent="0.3">
      <c r="A457">
        <v>276</v>
      </c>
      <c r="B457" t="s">
        <v>26</v>
      </c>
      <c r="C457" t="s">
        <v>27</v>
      </c>
      <c r="D457">
        <v>2013</v>
      </c>
      <c r="E457">
        <v>3</v>
      </c>
      <c r="F457">
        <v>1</v>
      </c>
      <c r="G457" t="s">
        <v>71</v>
      </c>
      <c r="H457">
        <v>34</v>
      </c>
      <c r="I457">
        <v>1039</v>
      </c>
      <c r="J457">
        <v>860391.64462499996</v>
      </c>
      <c r="K457" t="s">
        <v>74</v>
      </c>
      <c r="L457" t="str">
        <f>_xlfn.XLOOKUP(tblCategorySales[[#This Row],[SalesPersonID]],tblSalespersonSummary[SalesPersonID],tblSalespersonSummary[SalespersonName],"Not found")</f>
        <v>Linda Mitchell</v>
      </c>
      <c r="M457" t="str">
        <f>IF(tblCategorySales[[#This Row],[SalespersonName]]=tblCategorySales[[#This Row],[ExpectedSalespersonName]],"Match","Mismatch")</f>
        <v>Match</v>
      </c>
    </row>
    <row r="458" spans="1:13" x14ac:dyDescent="0.3">
      <c r="A458">
        <v>276</v>
      </c>
      <c r="B458" t="s">
        <v>26</v>
      </c>
      <c r="C458" t="s">
        <v>27</v>
      </c>
      <c r="D458">
        <v>2013</v>
      </c>
      <c r="E458">
        <v>3</v>
      </c>
      <c r="F458">
        <v>3</v>
      </c>
      <c r="G458" t="s">
        <v>72</v>
      </c>
      <c r="H458">
        <v>26</v>
      </c>
      <c r="I458">
        <v>1225</v>
      </c>
      <c r="J458">
        <v>32379.849222000001</v>
      </c>
      <c r="K458" t="s">
        <v>74</v>
      </c>
      <c r="L458" t="str">
        <f>_xlfn.XLOOKUP(tblCategorySales[[#This Row],[SalesPersonID]],tblSalespersonSummary[SalesPersonID],tblSalespersonSummary[SalespersonName],"Not found")</f>
        <v>Linda Mitchell</v>
      </c>
      <c r="M458" t="str">
        <f>IF(tblCategorySales[[#This Row],[SalespersonName]]=tblCategorySales[[#This Row],[ExpectedSalespersonName]],"Match","Mismatch")</f>
        <v>Match</v>
      </c>
    </row>
    <row r="459" spans="1:13" x14ac:dyDescent="0.3">
      <c r="A459">
        <v>276</v>
      </c>
      <c r="B459" t="s">
        <v>26</v>
      </c>
      <c r="C459" t="s">
        <v>27</v>
      </c>
      <c r="D459">
        <v>2013</v>
      </c>
      <c r="E459">
        <v>3</v>
      </c>
      <c r="F459">
        <v>2</v>
      </c>
      <c r="G459" t="s">
        <v>73</v>
      </c>
      <c r="H459">
        <v>39</v>
      </c>
      <c r="I459">
        <v>932</v>
      </c>
      <c r="J459">
        <v>201508.79576800001</v>
      </c>
      <c r="K459" t="s">
        <v>74</v>
      </c>
      <c r="L459" t="str">
        <f>_xlfn.XLOOKUP(tblCategorySales[[#This Row],[SalesPersonID]],tblSalespersonSummary[SalesPersonID],tblSalespersonSummary[SalespersonName],"Not found")</f>
        <v>Linda Mitchell</v>
      </c>
      <c r="M459" t="str">
        <f>IF(tblCategorySales[[#This Row],[SalespersonName]]=tblCategorySales[[#This Row],[ExpectedSalespersonName]],"Match","Mismatch")</f>
        <v>Match</v>
      </c>
    </row>
    <row r="460" spans="1:13" x14ac:dyDescent="0.3">
      <c r="A460">
        <v>286</v>
      </c>
      <c r="B460" t="s">
        <v>54</v>
      </c>
      <c r="C460" t="s">
        <v>55</v>
      </c>
      <c r="D460">
        <v>2013</v>
      </c>
      <c r="E460">
        <v>3</v>
      </c>
      <c r="F460">
        <v>4</v>
      </c>
      <c r="G460" t="s">
        <v>70</v>
      </c>
      <c r="H460">
        <v>7</v>
      </c>
      <c r="I460">
        <v>126</v>
      </c>
      <c r="J460">
        <v>3388.8</v>
      </c>
      <c r="K460" t="s">
        <v>74</v>
      </c>
      <c r="L460" t="str">
        <f>_xlfn.XLOOKUP(tblCategorySales[[#This Row],[SalesPersonID]],tblSalespersonSummary[SalesPersonID],tblSalespersonSummary[SalespersonName],"Not found")</f>
        <v>Lynn Tsoflias</v>
      </c>
      <c r="M460" t="str">
        <f>IF(tblCategorySales[[#This Row],[SalespersonName]]=tblCategorySales[[#This Row],[ExpectedSalespersonName]],"Match","Mismatch")</f>
        <v>Match</v>
      </c>
    </row>
    <row r="461" spans="1:13" x14ac:dyDescent="0.3">
      <c r="A461">
        <v>286</v>
      </c>
      <c r="B461" t="s">
        <v>54</v>
      </c>
      <c r="C461" t="s">
        <v>55</v>
      </c>
      <c r="D461">
        <v>2013</v>
      </c>
      <c r="E461">
        <v>3</v>
      </c>
      <c r="F461">
        <v>1</v>
      </c>
      <c r="G461" t="s">
        <v>71</v>
      </c>
      <c r="H461">
        <v>20</v>
      </c>
      <c r="I461">
        <v>325</v>
      </c>
      <c r="J461">
        <v>270259.11914999998</v>
      </c>
      <c r="K461" t="s">
        <v>74</v>
      </c>
      <c r="L461" t="str">
        <f>_xlfn.XLOOKUP(tblCategorySales[[#This Row],[SalesPersonID]],tblSalespersonSummary[SalesPersonID],tblSalespersonSummary[SalespersonName],"Not found")</f>
        <v>Lynn Tsoflias</v>
      </c>
      <c r="M461" t="str">
        <f>IF(tblCategorySales[[#This Row],[SalespersonName]]=tblCategorySales[[#This Row],[ExpectedSalespersonName]],"Match","Mismatch")</f>
        <v>Match</v>
      </c>
    </row>
    <row r="462" spans="1:13" x14ac:dyDescent="0.3">
      <c r="A462">
        <v>286</v>
      </c>
      <c r="B462" t="s">
        <v>54</v>
      </c>
      <c r="C462" t="s">
        <v>55</v>
      </c>
      <c r="D462">
        <v>2013</v>
      </c>
      <c r="E462">
        <v>3</v>
      </c>
      <c r="F462">
        <v>3</v>
      </c>
      <c r="G462" t="s">
        <v>72</v>
      </c>
      <c r="H462">
        <v>10</v>
      </c>
      <c r="I462">
        <v>263</v>
      </c>
      <c r="J462">
        <v>7584.1395839999996</v>
      </c>
      <c r="K462" t="s">
        <v>74</v>
      </c>
      <c r="L462" t="str">
        <f>_xlfn.XLOOKUP(tblCategorySales[[#This Row],[SalesPersonID]],tblSalespersonSummary[SalesPersonID],tblSalespersonSummary[SalespersonName],"Not found")</f>
        <v>Lynn Tsoflias</v>
      </c>
      <c r="M462" t="str">
        <f>IF(tblCategorySales[[#This Row],[SalespersonName]]=tblCategorySales[[#This Row],[ExpectedSalespersonName]],"Match","Mismatch")</f>
        <v>Match</v>
      </c>
    </row>
    <row r="463" spans="1:13" x14ac:dyDescent="0.3">
      <c r="A463">
        <v>286</v>
      </c>
      <c r="B463" t="s">
        <v>54</v>
      </c>
      <c r="C463" t="s">
        <v>55</v>
      </c>
      <c r="D463">
        <v>2013</v>
      </c>
      <c r="E463">
        <v>3</v>
      </c>
      <c r="F463">
        <v>2</v>
      </c>
      <c r="G463" t="s">
        <v>73</v>
      </c>
      <c r="H463">
        <v>18</v>
      </c>
      <c r="I463">
        <v>239</v>
      </c>
      <c r="J463">
        <v>50327.4</v>
      </c>
      <c r="K463" t="s">
        <v>74</v>
      </c>
      <c r="L463" t="str">
        <f>_xlfn.XLOOKUP(tblCategorySales[[#This Row],[SalesPersonID]],tblSalespersonSummary[SalesPersonID],tblSalespersonSummary[SalespersonName],"Not found")</f>
        <v>Lynn Tsoflias</v>
      </c>
      <c r="M463" t="str">
        <f>IF(tblCategorySales[[#This Row],[SalespersonName]]=tblCategorySales[[#This Row],[ExpectedSalespersonName]],"Match","Mismatch")</f>
        <v>Match</v>
      </c>
    </row>
    <row r="464" spans="1:13" x14ac:dyDescent="0.3">
      <c r="A464">
        <v>275</v>
      </c>
      <c r="B464" t="s">
        <v>28</v>
      </c>
      <c r="C464" t="s">
        <v>29</v>
      </c>
      <c r="D464">
        <v>2013</v>
      </c>
      <c r="E464">
        <v>3</v>
      </c>
      <c r="F464">
        <v>4</v>
      </c>
      <c r="G464" t="s">
        <v>70</v>
      </c>
      <c r="H464">
        <v>13</v>
      </c>
      <c r="I464">
        <v>276</v>
      </c>
      <c r="J464">
        <v>7606.1916000000001</v>
      </c>
      <c r="K464" t="s">
        <v>74</v>
      </c>
      <c r="L464" t="str">
        <f>_xlfn.XLOOKUP(tblCategorySales[[#This Row],[SalesPersonID]],tblSalespersonSummary[SalesPersonID],tblSalespersonSummary[SalespersonName],"Not found")</f>
        <v>Michael Blythe</v>
      </c>
      <c r="M464" t="str">
        <f>IF(tblCategorySales[[#This Row],[SalespersonName]]=tblCategorySales[[#This Row],[ExpectedSalespersonName]],"Match","Mismatch")</f>
        <v>Match</v>
      </c>
    </row>
    <row r="465" spans="1:13" x14ac:dyDescent="0.3">
      <c r="A465">
        <v>275</v>
      </c>
      <c r="B465" t="s">
        <v>28</v>
      </c>
      <c r="C465" t="s">
        <v>29</v>
      </c>
      <c r="D465">
        <v>2013</v>
      </c>
      <c r="E465">
        <v>3</v>
      </c>
      <c r="F465">
        <v>1</v>
      </c>
      <c r="G465" t="s">
        <v>71</v>
      </c>
      <c r="H465">
        <v>38</v>
      </c>
      <c r="I465">
        <v>1049</v>
      </c>
      <c r="J465">
        <v>927293.81312399998</v>
      </c>
      <c r="K465" t="s">
        <v>74</v>
      </c>
      <c r="L465" t="str">
        <f>_xlfn.XLOOKUP(tblCategorySales[[#This Row],[SalesPersonID]],tblSalespersonSummary[SalesPersonID],tblSalespersonSummary[SalespersonName],"Not found")</f>
        <v>Michael Blythe</v>
      </c>
      <c r="M465" t="str">
        <f>IF(tblCategorySales[[#This Row],[SalespersonName]]=tblCategorySales[[#This Row],[ExpectedSalespersonName]],"Match","Mismatch")</f>
        <v>Match</v>
      </c>
    </row>
    <row r="466" spans="1:13" x14ac:dyDescent="0.3">
      <c r="A466">
        <v>275</v>
      </c>
      <c r="B466" t="s">
        <v>28</v>
      </c>
      <c r="C466" t="s">
        <v>29</v>
      </c>
      <c r="D466">
        <v>2013</v>
      </c>
      <c r="E466">
        <v>3</v>
      </c>
      <c r="F466">
        <v>3</v>
      </c>
      <c r="G466" t="s">
        <v>72</v>
      </c>
      <c r="H466">
        <v>27</v>
      </c>
      <c r="I466">
        <v>783</v>
      </c>
      <c r="J466">
        <v>20085.851019000002</v>
      </c>
      <c r="K466" t="s">
        <v>74</v>
      </c>
      <c r="L466" t="str">
        <f>_xlfn.XLOOKUP(tblCategorySales[[#This Row],[SalesPersonID]],tblSalespersonSummary[SalesPersonID],tblSalespersonSummary[SalespersonName],"Not found")</f>
        <v>Michael Blythe</v>
      </c>
      <c r="M466" t="str">
        <f>IF(tblCategorySales[[#This Row],[SalespersonName]]=tblCategorySales[[#This Row],[ExpectedSalespersonName]],"Match","Mismatch")</f>
        <v>Match</v>
      </c>
    </row>
    <row r="467" spans="1:13" x14ac:dyDescent="0.3">
      <c r="A467">
        <v>275</v>
      </c>
      <c r="B467" t="s">
        <v>28</v>
      </c>
      <c r="C467" t="s">
        <v>29</v>
      </c>
      <c r="D467">
        <v>2013</v>
      </c>
      <c r="E467">
        <v>3</v>
      </c>
      <c r="F467">
        <v>2</v>
      </c>
      <c r="G467" t="s">
        <v>73</v>
      </c>
      <c r="H467">
        <v>36</v>
      </c>
      <c r="I467">
        <v>950</v>
      </c>
      <c r="J467">
        <v>204174.741072</v>
      </c>
      <c r="K467" t="s">
        <v>74</v>
      </c>
      <c r="L467" t="str">
        <f>_xlfn.XLOOKUP(tblCategorySales[[#This Row],[SalesPersonID]],tblSalespersonSummary[SalesPersonID],tblSalespersonSummary[SalespersonName],"Not found")</f>
        <v>Michael Blythe</v>
      </c>
      <c r="M467" t="str">
        <f>IF(tblCategorySales[[#This Row],[SalespersonName]]=tblCategorySales[[#This Row],[ExpectedSalespersonName]],"Match","Mismatch")</f>
        <v>Match</v>
      </c>
    </row>
    <row r="468" spans="1:13" x14ac:dyDescent="0.3">
      <c r="A468">
        <v>280</v>
      </c>
      <c r="B468" t="s">
        <v>30</v>
      </c>
      <c r="C468" t="s">
        <v>16</v>
      </c>
      <c r="D468">
        <v>2013</v>
      </c>
      <c r="E468">
        <v>3</v>
      </c>
      <c r="F468">
        <v>4</v>
      </c>
      <c r="G468" t="s">
        <v>70</v>
      </c>
      <c r="H468">
        <v>3</v>
      </c>
      <c r="I468">
        <v>77</v>
      </c>
      <c r="J468">
        <v>1334.6953759999999</v>
      </c>
      <c r="K468" t="s">
        <v>74</v>
      </c>
      <c r="L468" t="str">
        <f>_xlfn.XLOOKUP(tblCategorySales[[#This Row],[SalesPersonID]],tblSalespersonSummary[SalesPersonID],tblSalespersonSummary[SalespersonName],"Not found")</f>
        <v>Pamela Ansman-Wolfe</v>
      </c>
      <c r="M468" t="str">
        <f>IF(tblCategorySales[[#This Row],[SalespersonName]]=tblCategorySales[[#This Row],[ExpectedSalespersonName]],"Match","Mismatch")</f>
        <v>Match</v>
      </c>
    </row>
    <row r="469" spans="1:13" x14ac:dyDescent="0.3">
      <c r="A469">
        <v>280</v>
      </c>
      <c r="B469" t="s">
        <v>30</v>
      </c>
      <c r="C469" t="s">
        <v>16</v>
      </c>
      <c r="D469">
        <v>2013</v>
      </c>
      <c r="E469">
        <v>3</v>
      </c>
      <c r="F469">
        <v>1</v>
      </c>
      <c r="G469" t="s">
        <v>71</v>
      </c>
      <c r="H469">
        <v>6</v>
      </c>
      <c r="I469">
        <v>293</v>
      </c>
      <c r="J469">
        <v>262737.33409199998</v>
      </c>
      <c r="K469" t="s">
        <v>74</v>
      </c>
      <c r="L469" t="str">
        <f>_xlfn.XLOOKUP(tblCategorySales[[#This Row],[SalesPersonID]],tblSalespersonSummary[SalesPersonID],tblSalespersonSummary[SalespersonName],"Not found")</f>
        <v>Pamela Ansman-Wolfe</v>
      </c>
      <c r="M469" t="str">
        <f>IF(tblCategorySales[[#This Row],[SalespersonName]]=tblCategorySales[[#This Row],[ExpectedSalespersonName]],"Match","Mismatch")</f>
        <v>Match</v>
      </c>
    </row>
    <row r="470" spans="1:13" x14ac:dyDescent="0.3">
      <c r="A470">
        <v>280</v>
      </c>
      <c r="B470" t="s">
        <v>30</v>
      </c>
      <c r="C470" t="s">
        <v>16</v>
      </c>
      <c r="D470">
        <v>2013</v>
      </c>
      <c r="E470">
        <v>3</v>
      </c>
      <c r="F470">
        <v>3</v>
      </c>
      <c r="G470" t="s">
        <v>72</v>
      </c>
      <c r="H470">
        <v>6</v>
      </c>
      <c r="I470">
        <v>218</v>
      </c>
      <c r="J470">
        <v>6694.8702839999996</v>
      </c>
      <c r="K470" t="s">
        <v>74</v>
      </c>
      <c r="L470" t="str">
        <f>_xlfn.XLOOKUP(tblCategorySales[[#This Row],[SalesPersonID]],tblSalespersonSummary[SalesPersonID],tblSalespersonSummary[SalespersonName],"Not found")</f>
        <v>Pamela Ansman-Wolfe</v>
      </c>
      <c r="M470" t="str">
        <f>IF(tblCategorySales[[#This Row],[SalespersonName]]=tblCategorySales[[#This Row],[ExpectedSalespersonName]],"Match","Mismatch")</f>
        <v>Match</v>
      </c>
    </row>
    <row r="471" spans="1:13" x14ac:dyDescent="0.3">
      <c r="A471">
        <v>280</v>
      </c>
      <c r="B471" t="s">
        <v>30</v>
      </c>
      <c r="C471" t="s">
        <v>16</v>
      </c>
      <c r="D471">
        <v>2013</v>
      </c>
      <c r="E471">
        <v>3</v>
      </c>
      <c r="F471">
        <v>2</v>
      </c>
      <c r="G471" t="s">
        <v>73</v>
      </c>
      <c r="H471">
        <v>6</v>
      </c>
      <c r="I471">
        <v>422</v>
      </c>
      <c r="J471">
        <v>79949.331267999994</v>
      </c>
      <c r="K471" t="s">
        <v>74</v>
      </c>
      <c r="L471" t="str">
        <f>_xlfn.XLOOKUP(tblCategorySales[[#This Row],[SalesPersonID]],tblSalespersonSummary[SalesPersonID],tblSalespersonSummary[SalespersonName],"Not found")</f>
        <v>Pamela Ansman-Wolfe</v>
      </c>
      <c r="M471" t="str">
        <f>IF(tblCategorySales[[#This Row],[SalespersonName]]=tblCategorySales[[#This Row],[ExpectedSalespersonName]],"Match","Mismatch")</f>
        <v>Match</v>
      </c>
    </row>
    <row r="472" spans="1:13" x14ac:dyDescent="0.3">
      <c r="A472">
        <v>288</v>
      </c>
      <c r="B472" t="s">
        <v>56</v>
      </c>
      <c r="C472" t="s">
        <v>57</v>
      </c>
      <c r="D472">
        <v>2013</v>
      </c>
      <c r="E472">
        <v>3</v>
      </c>
      <c r="F472">
        <v>4</v>
      </c>
      <c r="G472" t="s">
        <v>70</v>
      </c>
      <c r="H472">
        <v>14</v>
      </c>
      <c r="I472">
        <v>453</v>
      </c>
      <c r="J472">
        <v>9878.4902419999999</v>
      </c>
      <c r="K472" t="s">
        <v>74</v>
      </c>
      <c r="L472" t="str">
        <f>_xlfn.XLOOKUP(tblCategorySales[[#This Row],[SalesPersonID]],tblSalespersonSummary[SalesPersonID],tblSalespersonSummary[SalespersonName],"Not found")</f>
        <v>Rachel Valdez</v>
      </c>
      <c r="M472" t="str">
        <f>IF(tblCategorySales[[#This Row],[SalespersonName]]=tblCategorySales[[#This Row],[ExpectedSalespersonName]],"Match","Mismatch")</f>
        <v>Match</v>
      </c>
    </row>
    <row r="473" spans="1:13" x14ac:dyDescent="0.3">
      <c r="A473">
        <v>288</v>
      </c>
      <c r="B473" t="s">
        <v>56</v>
      </c>
      <c r="C473" t="s">
        <v>57</v>
      </c>
      <c r="D473">
        <v>2013</v>
      </c>
      <c r="E473">
        <v>3</v>
      </c>
      <c r="F473">
        <v>1</v>
      </c>
      <c r="G473" t="s">
        <v>71</v>
      </c>
      <c r="H473">
        <v>24</v>
      </c>
      <c r="I473">
        <v>482</v>
      </c>
      <c r="J473">
        <v>387330.82345800003</v>
      </c>
      <c r="K473" t="s">
        <v>74</v>
      </c>
      <c r="L473" t="str">
        <f>_xlfn.XLOOKUP(tblCategorySales[[#This Row],[SalesPersonID]],tblSalespersonSummary[SalesPersonID],tblSalespersonSummary[SalespersonName],"Not found")</f>
        <v>Rachel Valdez</v>
      </c>
      <c r="M473" t="str">
        <f>IF(tblCategorySales[[#This Row],[SalespersonName]]=tblCategorySales[[#This Row],[ExpectedSalespersonName]],"Match","Mismatch")</f>
        <v>Match</v>
      </c>
    </row>
    <row r="474" spans="1:13" x14ac:dyDescent="0.3">
      <c r="A474">
        <v>288</v>
      </c>
      <c r="B474" t="s">
        <v>56</v>
      </c>
      <c r="C474" t="s">
        <v>57</v>
      </c>
      <c r="D474">
        <v>2013</v>
      </c>
      <c r="E474">
        <v>3</v>
      </c>
      <c r="F474">
        <v>3</v>
      </c>
      <c r="G474" t="s">
        <v>72</v>
      </c>
      <c r="H474">
        <v>21</v>
      </c>
      <c r="I474">
        <v>789</v>
      </c>
      <c r="J474">
        <v>21359.124327000001</v>
      </c>
      <c r="K474" t="s">
        <v>74</v>
      </c>
      <c r="L474" t="str">
        <f>_xlfn.XLOOKUP(tblCategorySales[[#This Row],[SalesPersonID]],tblSalespersonSummary[SalesPersonID],tblSalespersonSummary[SalespersonName],"Not found")</f>
        <v>Rachel Valdez</v>
      </c>
      <c r="M474" t="str">
        <f>IF(tblCategorySales[[#This Row],[SalespersonName]]=tblCategorySales[[#This Row],[ExpectedSalespersonName]],"Match","Mismatch")</f>
        <v>Match</v>
      </c>
    </row>
    <row r="475" spans="1:13" x14ac:dyDescent="0.3">
      <c r="A475">
        <v>288</v>
      </c>
      <c r="B475" t="s">
        <v>56</v>
      </c>
      <c r="C475" t="s">
        <v>57</v>
      </c>
      <c r="D475">
        <v>2013</v>
      </c>
      <c r="E475">
        <v>3</v>
      </c>
      <c r="F475">
        <v>2</v>
      </c>
      <c r="G475" t="s">
        <v>73</v>
      </c>
      <c r="H475">
        <v>25</v>
      </c>
      <c r="I475">
        <v>368</v>
      </c>
      <c r="J475">
        <v>89674.333299999998</v>
      </c>
      <c r="K475" t="s">
        <v>74</v>
      </c>
      <c r="L475" t="str">
        <f>_xlfn.XLOOKUP(tblCategorySales[[#This Row],[SalesPersonID]],tblSalespersonSummary[SalesPersonID],tblSalespersonSummary[SalespersonName],"Not found")</f>
        <v>Rachel Valdez</v>
      </c>
      <c r="M475" t="str">
        <f>IF(tblCategorySales[[#This Row],[SalespersonName]]=tblCategorySales[[#This Row],[ExpectedSalespersonName]],"Match","Mismatch")</f>
        <v>Match</v>
      </c>
    </row>
    <row r="476" spans="1:13" x14ac:dyDescent="0.3">
      <c r="A476">
        <v>290</v>
      </c>
      <c r="B476" t="s">
        <v>46</v>
      </c>
      <c r="C476" t="s">
        <v>47</v>
      </c>
      <c r="D476">
        <v>2013</v>
      </c>
      <c r="E476">
        <v>3</v>
      </c>
      <c r="F476">
        <v>4</v>
      </c>
      <c r="G476" t="s">
        <v>70</v>
      </c>
      <c r="H476">
        <v>12</v>
      </c>
      <c r="I476">
        <v>439</v>
      </c>
      <c r="J476">
        <v>11322.539037</v>
      </c>
      <c r="K476" t="s">
        <v>74</v>
      </c>
      <c r="L476" t="str">
        <f>_xlfn.XLOOKUP(tblCategorySales[[#This Row],[SalesPersonID]],tblSalespersonSummary[SalesPersonID],tblSalespersonSummary[SalespersonName],"Not found")</f>
        <v>Ranjit Varkey Chudukatil</v>
      </c>
      <c r="M476" t="str">
        <f>IF(tblCategorySales[[#This Row],[SalespersonName]]=tblCategorySales[[#This Row],[ExpectedSalespersonName]],"Match","Mismatch")</f>
        <v>Match</v>
      </c>
    </row>
    <row r="477" spans="1:13" x14ac:dyDescent="0.3">
      <c r="A477">
        <v>290</v>
      </c>
      <c r="B477" t="s">
        <v>46</v>
      </c>
      <c r="C477" t="s">
        <v>47</v>
      </c>
      <c r="D477">
        <v>2013</v>
      </c>
      <c r="E477">
        <v>3</v>
      </c>
      <c r="F477">
        <v>1</v>
      </c>
      <c r="G477" t="s">
        <v>71</v>
      </c>
      <c r="H477">
        <v>22</v>
      </c>
      <c r="I477">
        <v>754</v>
      </c>
      <c r="J477">
        <v>666066.94205199997</v>
      </c>
      <c r="K477" t="s">
        <v>74</v>
      </c>
      <c r="L477" t="str">
        <f>_xlfn.XLOOKUP(tblCategorySales[[#This Row],[SalesPersonID]],tblSalespersonSummary[SalesPersonID],tblSalespersonSummary[SalespersonName],"Not found")</f>
        <v>Ranjit Varkey Chudukatil</v>
      </c>
      <c r="M477" t="str">
        <f>IF(tblCategorySales[[#This Row],[SalespersonName]]=tblCategorySales[[#This Row],[ExpectedSalespersonName]],"Match","Mismatch")</f>
        <v>Match</v>
      </c>
    </row>
    <row r="478" spans="1:13" x14ac:dyDescent="0.3">
      <c r="A478">
        <v>290</v>
      </c>
      <c r="B478" t="s">
        <v>46</v>
      </c>
      <c r="C478" t="s">
        <v>47</v>
      </c>
      <c r="D478">
        <v>2013</v>
      </c>
      <c r="E478">
        <v>3</v>
      </c>
      <c r="F478">
        <v>3</v>
      </c>
      <c r="G478" t="s">
        <v>72</v>
      </c>
      <c r="H478">
        <v>20</v>
      </c>
      <c r="I478">
        <v>787</v>
      </c>
      <c r="J478">
        <v>22032.963732</v>
      </c>
      <c r="K478" t="s">
        <v>74</v>
      </c>
      <c r="L478" t="str">
        <f>_xlfn.XLOOKUP(tblCategorySales[[#This Row],[SalesPersonID]],tblSalespersonSummary[SalesPersonID],tblSalespersonSummary[SalespersonName],"Not found")</f>
        <v>Ranjit Varkey Chudukatil</v>
      </c>
      <c r="M478" t="str">
        <f>IF(tblCategorySales[[#This Row],[SalespersonName]]=tblCategorySales[[#This Row],[ExpectedSalespersonName]],"Match","Mismatch")</f>
        <v>Match</v>
      </c>
    </row>
    <row r="479" spans="1:13" x14ac:dyDescent="0.3">
      <c r="A479">
        <v>290</v>
      </c>
      <c r="B479" t="s">
        <v>46</v>
      </c>
      <c r="C479" t="s">
        <v>47</v>
      </c>
      <c r="D479">
        <v>2013</v>
      </c>
      <c r="E479">
        <v>3</v>
      </c>
      <c r="F479">
        <v>2</v>
      </c>
      <c r="G479" t="s">
        <v>73</v>
      </c>
      <c r="H479">
        <v>24</v>
      </c>
      <c r="I479">
        <v>685</v>
      </c>
      <c r="J479">
        <v>165531.129656</v>
      </c>
      <c r="K479" t="s">
        <v>74</v>
      </c>
      <c r="L479" t="str">
        <f>_xlfn.XLOOKUP(tblCategorySales[[#This Row],[SalesPersonID]],tblSalespersonSummary[SalesPersonID],tblSalespersonSummary[SalespersonName],"Not found")</f>
        <v>Ranjit Varkey Chudukatil</v>
      </c>
      <c r="M479" t="str">
        <f>IF(tblCategorySales[[#This Row],[SalespersonName]]=tblCategorySales[[#This Row],[ExpectedSalespersonName]],"Match","Mismatch")</f>
        <v>Match</v>
      </c>
    </row>
    <row r="480" spans="1:13" x14ac:dyDescent="0.3">
      <c r="A480">
        <v>281</v>
      </c>
      <c r="B480" t="s">
        <v>31</v>
      </c>
      <c r="C480" t="s">
        <v>27</v>
      </c>
      <c r="D480">
        <v>2013</v>
      </c>
      <c r="E480">
        <v>3</v>
      </c>
      <c r="F480">
        <v>4</v>
      </c>
      <c r="G480" t="s">
        <v>70</v>
      </c>
      <c r="H480">
        <v>14</v>
      </c>
      <c r="I480">
        <v>298</v>
      </c>
      <c r="J480">
        <v>7670.9028520000002</v>
      </c>
      <c r="K480" t="s">
        <v>74</v>
      </c>
      <c r="L480" t="str">
        <f>_xlfn.XLOOKUP(tblCategorySales[[#This Row],[SalesPersonID]],tblSalespersonSummary[SalesPersonID],tblSalespersonSummary[SalespersonName],"Not found")</f>
        <v>Shu Ito</v>
      </c>
      <c r="M480" t="str">
        <f>IF(tblCategorySales[[#This Row],[SalespersonName]]=tblCategorySales[[#This Row],[ExpectedSalespersonName]],"Match","Mismatch")</f>
        <v>Match</v>
      </c>
    </row>
    <row r="481" spans="1:13" x14ac:dyDescent="0.3">
      <c r="A481">
        <v>281</v>
      </c>
      <c r="B481" t="s">
        <v>31</v>
      </c>
      <c r="C481" t="s">
        <v>27</v>
      </c>
      <c r="D481">
        <v>2013</v>
      </c>
      <c r="E481">
        <v>3</v>
      </c>
      <c r="F481">
        <v>1</v>
      </c>
      <c r="G481" t="s">
        <v>71</v>
      </c>
      <c r="H481">
        <v>22</v>
      </c>
      <c r="I481">
        <v>637</v>
      </c>
      <c r="J481">
        <v>522183.32010000001</v>
      </c>
      <c r="K481" t="s">
        <v>74</v>
      </c>
      <c r="L481" t="str">
        <f>_xlfn.XLOOKUP(tblCategorySales[[#This Row],[SalesPersonID]],tblSalespersonSummary[SalesPersonID],tblSalespersonSummary[SalespersonName],"Not found")</f>
        <v>Shu Ito</v>
      </c>
      <c r="M481" t="str">
        <f>IF(tblCategorySales[[#This Row],[SalespersonName]]=tblCategorySales[[#This Row],[ExpectedSalespersonName]],"Match","Mismatch")</f>
        <v>Match</v>
      </c>
    </row>
    <row r="482" spans="1:13" x14ac:dyDescent="0.3">
      <c r="A482">
        <v>281</v>
      </c>
      <c r="B482" t="s">
        <v>31</v>
      </c>
      <c r="C482" t="s">
        <v>27</v>
      </c>
      <c r="D482">
        <v>2013</v>
      </c>
      <c r="E482">
        <v>3</v>
      </c>
      <c r="F482">
        <v>3</v>
      </c>
      <c r="G482" t="s">
        <v>72</v>
      </c>
      <c r="H482">
        <v>18</v>
      </c>
      <c r="I482">
        <v>695</v>
      </c>
      <c r="J482">
        <v>17422.961082000002</v>
      </c>
      <c r="K482" t="s">
        <v>74</v>
      </c>
      <c r="L482" t="str">
        <f>_xlfn.XLOOKUP(tblCategorySales[[#This Row],[SalesPersonID]],tblSalespersonSummary[SalesPersonID],tblSalespersonSummary[SalespersonName],"Not found")</f>
        <v>Shu Ito</v>
      </c>
      <c r="M482" t="str">
        <f>IF(tblCategorySales[[#This Row],[SalespersonName]]=tblCategorySales[[#This Row],[ExpectedSalespersonName]],"Match","Mismatch")</f>
        <v>Match</v>
      </c>
    </row>
    <row r="483" spans="1:13" x14ac:dyDescent="0.3">
      <c r="A483">
        <v>281</v>
      </c>
      <c r="B483" t="s">
        <v>31</v>
      </c>
      <c r="C483" t="s">
        <v>27</v>
      </c>
      <c r="D483">
        <v>2013</v>
      </c>
      <c r="E483">
        <v>3</v>
      </c>
      <c r="F483">
        <v>2</v>
      </c>
      <c r="G483" t="s">
        <v>73</v>
      </c>
      <c r="H483">
        <v>23</v>
      </c>
      <c r="I483">
        <v>493</v>
      </c>
      <c r="J483">
        <v>121242.36</v>
      </c>
      <c r="K483" t="s">
        <v>74</v>
      </c>
      <c r="L483" t="str">
        <f>_xlfn.XLOOKUP(tblCategorySales[[#This Row],[SalesPersonID]],tblSalespersonSummary[SalesPersonID],tblSalespersonSummary[SalespersonName],"Not found")</f>
        <v>Shu Ito</v>
      </c>
      <c r="M483" t="str">
        <f>IF(tblCategorySales[[#This Row],[SalespersonName]]=tblCategorySales[[#This Row],[ExpectedSalespersonName]],"Match","Mismatch")</f>
        <v>Match</v>
      </c>
    </row>
    <row r="484" spans="1:13" x14ac:dyDescent="0.3">
      <c r="A484">
        <v>274</v>
      </c>
      <c r="B484" t="s">
        <v>32</v>
      </c>
      <c r="C484" t="s">
        <v>33</v>
      </c>
      <c r="D484">
        <v>2013</v>
      </c>
      <c r="E484">
        <v>3</v>
      </c>
      <c r="F484">
        <v>4</v>
      </c>
      <c r="G484" t="s">
        <v>70</v>
      </c>
      <c r="H484">
        <v>2</v>
      </c>
      <c r="I484">
        <v>116</v>
      </c>
      <c r="J484">
        <v>2435.9383200000002</v>
      </c>
      <c r="K484" t="s">
        <v>75</v>
      </c>
      <c r="L484" t="str">
        <f>_xlfn.XLOOKUP(tblCategorySales[[#This Row],[SalesPersonID]],tblSalespersonSummary[SalesPersonID],tblSalespersonSummary[SalespersonName],"Not found")</f>
        <v>Stephen Jiang</v>
      </c>
      <c r="M484" t="str">
        <f>IF(tblCategorySales[[#This Row],[SalespersonName]]=tblCategorySales[[#This Row],[ExpectedSalespersonName]],"Match","Mismatch")</f>
        <v>Match</v>
      </c>
    </row>
    <row r="485" spans="1:13" x14ac:dyDescent="0.3">
      <c r="A485">
        <v>274</v>
      </c>
      <c r="B485" t="s">
        <v>32</v>
      </c>
      <c r="C485" t="s">
        <v>33</v>
      </c>
      <c r="D485">
        <v>2013</v>
      </c>
      <c r="E485">
        <v>3</v>
      </c>
      <c r="F485">
        <v>1</v>
      </c>
      <c r="G485" t="s">
        <v>71</v>
      </c>
      <c r="H485">
        <v>5</v>
      </c>
      <c r="I485">
        <v>160</v>
      </c>
      <c r="J485">
        <v>140410.76879999999</v>
      </c>
      <c r="K485" t="s">
        <v>75</v>
      </c>
      <c r="L485" t="str">
        <f>_xlfn.XLOOKUP(tblCategorySales[[#This Row],[SalesPersonID]],tblSalespersonSummary[SalesPersonID],tblSalespersonSummary[SalespersonName],"Not found")</f>
        <v>Stephen Jiang</v>
      </c>
      <c r="M485" t="str">
        <f>IF(tblCategorySales[[#This Row],[SalespersonName]]=tblCategorySales[[#This Row],[ExpectedSalespersonName]],"Match","Mismatch")</f>
        <v>Match</v>
      </c>
    </row>
    <row r="486" spans="1:13" x14ac:dyDescent="0.3">
      <c r="A486">
        <v>274</v>
      </c>
      <c r="B486" t="s">
        <v>32</v>
      </c>
      <c r="C486" t="s">
        <v>33</v>
      </c>
      <c r="D486">
        <v>2013</v>
      </c>
      <c r="E486">
        <v>3</v>
      </c>
      <c r="F486">
        <v>3</v>
      </c>
      <c r="G486" t="s">
        <v>72</v>
      </c>
      <c r="H486">
        <v>3</v>
      </c>
      <c r="I486">
        <v>217</v>
      </c>
      <c r="J486">
        <v>5216.0527469999997</v>
      </c>
      <c r="K486" t="s">
        <v>75</v>
      </c>
      <c r="L486" t="str">
        <f>_xlfn.XLOOKUP(tblCategorySales[[#This Row],[SalesPersonID]],tblSalespersonSummary[SalesPersonID],tblSalespersonSummary[SalespersonName],"Not found")</f>
        <v>Stephen Jiang</v>
      </c>
      <c r="M486" t="str">
        <f>IF(tblCategorySales[[#This Row],[SalespersonName]]=tblCategorySales[[#This Row],[ExpectedSalespersonName]],"Match","Mismatch")</f>
        <v>Match</v>
      </c>
    </row>
    <row r="487" spans="1:13" x14ac:dyDescent="0.3">
      <c r="A487">
        <v>274</v>
      </c>
      <c r="B487" t="s">
        <v>32</v>
      </c>
      <c r="C487" t="s">
        <v>33</v>
      </c>
      <c r="D487">
        <v>2013</v>
      </c>
      <c r="E487">
        <v>3</v>
      </c>
      <c r="F487">
        <v>2</v>
      </c>
      <c r="G487" t="s">
        <v>73</v>
      </c>
      <c r="H487">
        <v>4</v>
      </c>
      <c r="I487">
        <v>207</v>
      </c>
      <c r="J487">
        <v>32808.516431999997</v>
      </c>
      <c r="K487" t="s">
        <v>75</v>
      </c>
      <c r="L487" t="str">
        <f>_xlfn.XLOOKUP(tblCategorySales[[#This Row],[SalesPersonID]],tblSalespersonSummary[SalesPersonID],tblSalespersonSummary[SalespersonName],"Not found")</f>
        <v>Stephen Jiang</v>
      </c>
      <c r="M487" t="str">
        <f>IF(tblCategorySales[[#This Row],[SalespersonName]]=tblCategorySales[[#This Row],[ExpectedSalespersonName]],"Match","Mismatch")</f>
        <v>Match</v>
      </c>
    </row>
    <row r="488" spans="1:13" x14ac:dyDescent="0.3">
      <c r="A488">
        <v>285</v>
      </c>
      <c r="B488" t="s">
        <v>58</v>
      </c>
      <c r="C488" t="s">
        <v>33</v>
      </c>
      <c r="D488">
        <v>2013</v>
      </c>
      <c r="E488">
        <v>3</v>
      </c>
      <c r="F488">
        <v>4</v>
      </c>
      <c r="G488" t="s">
        <v>70</v>
      </c>
      <c r="H488">
        <v>4</v>
      </c>
      <c r="I488">
        <v>141</v>
      </c>
      <c r="J488">
        <v>3959.0940000000001</v>
      </c>
      <c r="K488" t="s">
        <v>75</v>
      </c>
      <c r="L488" t="str">
        <f>_xlfn.XLOOKUP(tblCategorySales[[#This Row],[SalesPersonID]],tblSalespersonSummary[SalesPersonID],tblSalespersonSummary[SalespersonName],"Not found")</f>
        <v>Syed Abbas</v>
      </c>
      <c r="M488" t="str">
        <f>IF(tblCategorySales[[#This Row],[SalespersonName]]=tblCategorySales[[#This Row],[ExpectedSalespersonName]],"Match","Mismatch")</f>
        <v>Match</v>
      </c>
    </row>
    <row r="489" spans="1:13" x14ac:dyDescent="0.3">
      <c r="A489">
        <v>285</v>
      </c>
      <c r="B489" t="s">
        <v>58</v>
      </c>
      <c r="C489" t="s">
        <v>33</v>
      </c>
      <c r="D489">
        <v>2013</v>
      </c>
      <c r="E489">
        <v>3</v>
      </c>
      <c r="F489">
        <v>1</v>
      </c>
      <c r="G489" t="s">
        <v>71</v>
      </c>
      <c r="H489">
        <v>5</v>
      </c>
      <c r="I489">
        <v>117</v>
      </c>
      <c r="J489">
        <v>86863.594574999996</v>
      </c>
      <c r="K489" t="s">
        <v>75</v>
      </c>
      <c r="L489" t="str">
        <f>_xlfn.XLOOKUP(tblCategorySales[[#This Row],[SalesPersonID]],tblSalespersonSummary[SalesPersonID],tblSalespersonSummary[SalespersonName],"Not found")</f>
        <v>Syed Abbas</v>
      </c>
      <c r="M489" t="str">
        <f>IF(tblCategorySales[[#This Row],[SalespersonName]]=tblCategorySales[[#This Row],[ExpectedSalespersonName]],"Match","Mismatch")</f>
        <v>Match</v>
      </c>
    </row>
    <row r="490" spans="1:13" x14ac:dyDescent="0.3">
      <c r="A490">
        <v>285</v>
      </c>
      <c r="B490" t="s">
        <v>58</v>
      </c>
      <c r="C490" t="s">
        <v>33</v>
      </c>
      <c r="D490">
        <v>2013</v>
      </c>
      <c r="E490">
        <v>3</v>
      </c>
      <c r="F490">
        <v>3</v>
      </c>
      <c r="G490" t="s">
        <v>72</v>
      </c>
      <c r="H490">
        <v>4</v>
      </c>
      <c r="I490">
        <v>256</v>
      </c>
      <c r="J490">
        <v>6921.2785000000003</v>
      </c>
      <c r="K490" t="s">
        <v>75</v>
      </c>
      <c r="L490" t="str">
        <f>_xlfn.XLOOKUP(tblCategorySales[[#This Row],[SalesPersonID]],tblSalespersonSummary[SalesPersonID],tblSalespersonSummary[SalespersonName],"Not found")</f>
        <v>Syed Abbas</v>
      </c>
      <c r="M490" t="str">
        <f>IF(tblCategorySales[[#This Row],[SalespersonName]]=tblCategorySales[[#This Row],[ExpectedSalespersonName]],"Match","Mismatch")</f>
        <v>Match</v>
      </c>
    </row>
    <row r="491" spans="1:13" x14ac:dyDescent="0.3">
      <c r="A491">
        <v>285</v>
      </c>
      <c r="B491" t="s">
        <v>58</v>
      </c>
      <c r="C491" t="s">
        <v>33</v>
      </c>
      <c r="D491">
        <v>2013</v>
      </c>
      <c r="E491">
        <v>3</v>
      </c>
      <c r="F491">
        <v>2</v>
      </c>
      <c r="G491" t="s">
        <v>73</v>
      </c>
      <c r="H491">
        <v>6</v>
      </c>
      <c r="I491">
        <v>102</v>
      </c>
      <c r="J491">
        <v>17041.848000000002</v>
      </c>
      <c r="K491" t="s">
        <v>75</v>
      </c>
      <c r="L491" t="str">
        <f>_xlfn.XLOOKUP(tblCategorySales[[#This Row],[SalesPersonID]],tblSalespersonSummary[SalesPersonID],tblSalespersonSummary[SalespersonName],"Not found")</f>
        <v>Syed Abbas</v>
      </c>
      <c r="M491" t="str">
        <f>IF(tblCategorySales[[#This Row],[SalespersonName]]=tblCategorySales[[#This Row],[ExpectedSalespersonName]],"Match","Mismatch")</f>
        <v>Match</v>
      </c>
    </row>
    <row r="492" spans="1:13" x14ac:dyDescent="0.3">
      <c r="A492">
        <v>284</v>
      </c>
      <c r="B492" t="s">
        <v>50</v>
      </c>
      <c r="C492" t="s">
        <v>16</v>
      </c>
      <c r="D492">
        <v>2013</v>
      </c>
      <c r="E492">
        <v>3</v>
      </c>
      <c r="F492">
        <v>4</v>
      </c>
      <c r="G492" t="s">
        <v>70</v>
      </c>
      <c r="H492">
        <v>7</v>
      </c>
      <c r="I492">
        <v>138</v>
      </c>
      <c r="J492">
        <v>3568.44</v>
      </c>
      <c r="K492" t="s">
        <v>75</v>
      </c>
      <c r="L492" t="str">
        <f>_xlfn.XLOOKUP(tblCategorySales[[#This Row],[SalesPersonID]],tblSalespersonSummary[SalesPersonID],tblSalespersonSummary[SalespersonName],"Not found")</f>
        <v>Tete Mensa-Annan</v>
      </c>
      <c r="M492" t="str">
        <f>IF(tblCategorySales[[#This Row],[SalespersonName]]=tblCategorySales[[#This Row],[ExpectedSalespersonName]],"Match","Mismatch")</f>
        <v>Match</v>
      </c>
    </row>
    <row r="493" spans="1:13" x14ac:dyDescent="0.3">
      <c r="A493">
        <v>284</v>
      </c>
      <c r="B493" t="s">
        <v>50</v>
      </c>
      <c r="C493" t="s">
        <v>16</v>
      </c>
      <c r="D493">
        <v>2013</v>
      </c>
      <c r="E493">
        <v>3</v>
      </c>
      <c r="F493">
        <v>1</v>
      </c>
      <c r="G493" t="s">
        <v>71</v>
      </c>
      <c r="H493">
        <v>20</v>
      </c>
      <c r="I493">
        <v>378</v>
      </c>
      <c r="J493">
        <v>315963.26184499997</v>
      </c>
      <c r="K493" t="s">
        <v>75</v>
      </c>
      <c r="L493" t="str">
        <f>_xlfn.XLOOKUP(tblCategorySales[[#This Row],[SalesPersonID]],tblSalespersonSummary[SalesPersonID],tblSalespersonSummary[SalespersonName],"Not found")</f>
        <v>Tete Mensa-Annan</v>
      </c>
      <c r="M493" t="str">
        <f>IF(tblCategorySales[[#This Row],[SalespersonName]]=tblCategorySales[[#This Row],[ExpectedSalespersonName]],"Match","Mismatch")</f>
        <v>Match</v>
      </c>
    </row>
    <row r="494" spans="1:13" x14ac:dyDescent="0.3">
      <c r="A494">
        <v>284</v>
      </c>
      <c r="B494" t="s">
        <v>50</v>
      </c>
      <c r="C494" t="s">
        <v>16</v>
      </c>
      <c r="D494">
        <v>2013</v>
      </c>
      <c r="E494">
        <v>3</v>
      </c>
      <c r="F494">
        <v>3</v>
      </c>
      <c r="G494" t="s">
        <v>72</v>
      </c>
      <c r="H494">
        <v>11</v>
      </c>
      <c r="I494">
        <v>258</v>
      </c>
      <c r="J494">
        <v>6422.2445079999998</v>
      </c>
      <c r="K494" t="s">
        <v>75</v>
      </c>
      <c r="L494" t="str">
        <f>_xlfn.XLOOKUP(tblCategorySales[[#This Row],[SalesPersonID]],tblSalespersonSummary[SalesPersonID],tblSalespersonSummary[SalespersonName],"Not found")</f>
        <v>Tete Mensa-Annan</v>
      </c>
      <c r="M494" t="str">
        <f>IF(tblCategorySales[[#This Row],[SalespersonName]]=tblCategorySales[[#This Row],[ExpectedSalespersonName]],"Match","Mismatch")</f>
        <v>Match</v>
      </c>
    </row>
    <row r="495" spans="1:13" x14ac:dyDescent="0.3">
      <c r="A495">
        <v>284</v>
      </c>
      <c r="B495" t="s">
        <v>50</v>
      </c>
      <c r="C495" t="s">
        <v>16</v>
      </c>
      <c r="D495">
        <v>2013</v>
      </c>
      <c r="E495">
        <v>3</v>
      </c>
      <c r="F495">
        <v>2</v>
      </c>
      <c r="G495" t="s">
        <v>73</v>
      </c>
      <c r="H495">
        <v>16</v>
      </c>
      <c r="I495">
        <v>248</v>
      </c>
      <c r="J495">
        <v>62758.925999999999</v>
      </c>
      <c r="K495" t="s">
        <v>75</v>
      </c>
      <c r="L495" t="str">
        <f>_xlfn.XLOOKUP(tblCategorySales[[#This Row],[SalesPersonID]],tblSalespersonSummary[SalesPersonID],tblSalespersonSummary[SalespersonName],"Not found")</f>
        <v>Tete Mensa-Annan</v>
      </c>
      <c r="M495" t="str">
        <f>IF(tblCategorySales[[#This Row],[SalespersonName]]=tblCategorySales[[#This Row],[ExpectedSalespersonName]],"Match","Mismatch")</f>
        <v>Match</v>
      </c>
    </row>
    <row r="496" spans="1:13" x14ac:dyDescent="0.3">
      <c r="A496">
        <v>279</v>
      </c>
      <c r="B496" t="s">
        <v>34</v>
      </c>
      <c r="C496" t="s">
        <v>35</v>
      </c>
      <c r="D496">
        <v>2013</v>
      </c>
      <c r="E496">
        <v>3</v>
      </c>
      <c r="F496">
        <v>4</v>
      </c>
      <c r="G496" t="s">
        <v>70</v>
      </c>
      <c r="H496">
        <v>13</v>
      </c>
      <c r="I496">
        <v>269</v>
      </c>
      <c r="J496">
        <v>6772.2545829999999</v>
      </c>
      <c r="K496" t="s">
        <v>74</v>
      </c>
      <c r="L496" t="str">
        <f>_xlfn.XLOOKUP(tblCategorySales[[#This Row],[SalesPersonID]],tblSalespersonSummary[SalesPersonID],tblSalespersonSummary[SalespersonName],"Not found")</f>
        <v>Tsvi Reiter</v>
      </c>
      <c r="M496" t="str">
        <f>IF(tblCategorySales[[#This Row],[SalespersonName]]=tblCategorySales[[#This Row],[ExpectedSalespersonName]],"Match","Mismatch")</f>
        <v>Match</v>
      </c>
    </row>
    <row r="497" spans="1:13" x14ac:dyDescent="0.3">
      <c r="A497">
        <v>279</v>
      </c>
      <c r="B497" t="s">
        <v>34</v>
      </c>
      <c r="C497" t="s">
        <v>35</v>
      </c>
      <c r="D497">
        <v>2013</v>
      </c>
      <c r="E497">
        <v>3</v>
      </c>
      <c r="F497">
        <v>1</v>
      </c>
      <c r="G497" t="s">
        <v>71</v>
      </c>
      <c r="H497">
        <v>36</v>
      </c>
      <c r="I497">
        <v>602</v>
      </c>
      <c r="J497">
        <v>475944.89467499999</v>
      </c>
      <c r="K497" t="s">
        <v>74</v>
      </c>
      <c r="L497" t="str">
        <f>_xlfn.XLOOKUP(tblCategorySales[[#This Row],[SalesPersonID]],tblSalespersonSummary[SalesPersonID],tblSalespersonSummary[SalespersonName],"Not found")</f>
        <v>Tsvi Reiter</v>
      </c>
      <c r="M497" t="str">
        <f>IF(tblCategorySales[[#This Row],[SalespersonName]]=tblCategorySales[[#This Row],[ExpectedSalespersonName]],"Match","Mismatch")</f>
        <v>Match</v>
      </c>
    </row>
    <row r="498" spans="1:13" x14ac:dyDescent="0.3">
      <c r="A498">
        <v>279</v>
      </c>
      <c r="B498" t="s">
        <v>34</v>
      </c>
      <c r="C498" t="s">
        <v>35</v>
      </c>
      <c r="D498">
        <v>2013</v>
      </c>
      <c r="E498">
        <v>3</v>
      </c>
      <c r="F498">
        <v>3</v>
      </c>
      <c r="G498" t="s">
        <v>72</v>
      </c>
      <c r="H498">
        <v>24</v>
      </c>
      <c r="I498">
        <v>640</v>
      </c>
      <c r="J498">
        <v>16529.070358000001</v>
      </c>
      <c r="K498" t="s">
        <v>74</v>
      </c>
      <c r="L498" t="str">
        <f>_xlfn.XLOOKUP(tblCategorySales[[#This Row],[SalesPersonID]],tblSalespersonSummary[SalesPersonID],tblSalespersonSummary[SalespersonName],"Not found")</f>
        <v>Tsvi Reiter</v>
      </c>
      <c r="M498" t="str">
        <f>IF(tblCategorySales[[#This Row],[SalespersonName]]=tblCategorySales[[#This Row],[ExpectedSalespersonName]],"Match","Mismatch")</f>
        <v>Match</v>
      </c>
    </row>
    <row r="499" spans="1:13" x14ac:dyDescent="0.3">
      <c r="A499">
        <v>279</v>
      </c>
      <c r="B499" t="s">
        <v>34</v>
      </c>
      <c r="C499" t="s">
        <v>35</v>
      </c>
      <c r="D499">
        <v>2013</v>
      </c>
      <c r="E499">
        <v>3</v>
      </c>
      <c r="F499">
        <v>2</v>
      </c>
      <c r="G499" t="s">
        <v>73</v>
      </c>
      <c r="H499">
        <v>32</v>
      </c>
      <c r="I499">
        <v>456</v>
      </c>
      <c r="J499">
        <v>96271.248000000007</v>
      </c>
      <c r="K499" t="s">
        <v>74</v>
      </c>
      <c r="L499" t="str">
        <f>_xlfn.XLOOKUP(tblCategorySales[[#This Row],[SalesPersonID]],tblSalespersonSummary[SalesPersonID],tblSalespersonSummary[SalespersonName],"Not found")</f>
        <v>Tsvi Reiter</v>
      </c>
      <c r="M499" t="str">
        <f>IF(tblCategorySales[[#This Row],[SalespersonName]]=tblCategorySales[[#This Row],[ExpectedSalespersonName]],"Match","Mismatch")</f>
        <v>Match</v>
      </c>
    </row>
    <row r="500" spans="1:13" x14ac:dyDescent="0.3">
      <c r="A500">
        <v>287</v>
      </c>
      <c r="B500" t="s">
        <v>42</v>
      </c>
      <c r="C500" t="s">
        <v>33</v>
      </c>
      <c r="D500">
        <v>2013</v>
      </c>
      <c r="E500">
        <v>4</v>
      </c>
      <c r="F500">
        <v>4</v>
      </c>
      <c r="G500" t="s">
        <v>70</v>
      </c>
      <c r="H500">
        <v>2</v>
      </c>
      <c r="I500">
        <v>74</v>
      </c>
      <c r="J500">
        <v>1582.9870579999999</v>
      </c>
      <c r="K500" t="s">
        <v>75</v>
      </c>
      <c r="L500" t="str">
        <f>_xlfn.XLOOKUP(tblCategorySales[[#This Row],[SalesPersonID]],tblSalespersonSummary[SalesPersonID],tblSalespersonSummary[SalespersonName],"Not found")</f>
        <v>Amy Alberts</v>
      </c>
      <c r="M500" t="str">
        <f>IF(tblCategorySales[[#This Row],[SalespersonName]]=tblCategorySales[[#This Row],[ExpectedSalespersonName]],"Match","Mismatch")</f>
        <v>Match</v>
      </c>
    </row>
    <row r="501" spans="1:13" x14ac:dyDescent="0.3">
      <c r="A501">
        <v>287</v>
      </c>
      <c r="B501" t="s">
        <v>42</v>
      </c>
      <c r="C501" t="s">
        <v>33</v>
      </c>
      <c r="D501">
        <v>2013</v>
      </c>
      <c r="E501">
        <v>4</v>
      </c>
      <c r="F501">
        <v>1</v>
      </c>
      <c r="G501" t="s">
        <v>71</v>
      </c>
      <c r="H501">
        <v>9</v>
      </c>
      <c r="I501">
        <v>238</v>
      </c>
      <c r="J501">
        <v>216360.372</v>
      </c>
      <c r="K501" t="s">
        <v>75</v>
      </c>
      <c r="L501" t="str">
        <f>_xlfn.XLOOKUP(tblCategorySales[[#This Row],[SalesPersonID]],tblSalespersonSummary[SalesPersonID],tblSalespersonSummary[SalespersonName],"Not found")</f>
        <v>Amy Alberts</v>
      </c>
      <c r="M501" t="str">
        <f>IF(tblCategorySales[[#This Row],[SalespersonName]]=tblCategorySales[[#This Row],[ExpectedSalespersonName]],"Match","Mismatch")</f>
        <v>Match</v>
      </c>
    </row>
    <row r="502" spans="1:13" x14ac:dyDescent="0.3">
      <c r="A502">
        <v>287</v>
      </c>
      <c r="B502" t="s">
        <v>42</v>
      </c>
      <c r="C502" t="s">
        <v>33</v>
      </c>
      <c r="D502">
        <v>2013</v>
      </c>
      <c r="E502">
        <v>4</v>
      </c>
      <c r="F502">
        <v>3</v>
      </c>
      <c r="G502" t="s">
        <v>72</v>
      </c>
      <c r="H502">
        <v>8</v>
      </c>
      <c r="I502">
        <v>144</v>
      </c>
      <c r="J502">
        <v>4529.2881520000001</v>
      </c>
      <c r="K502" t="s">
        <v>75</v>
      </c>
      <c r="L502" t="str">
        <f>_xlfn.XLOOKUP(tblCategorySales[[#This Row],[SalesPersonID]],tblSalespersonSummary[SalesPersonID],tblSalespersonSummary[SalespersonName],"Not found")</f>
        <v>Amy Alberts</v>
      </c>
      <c r="M502" t="str">
        <f>IF(tblCategorySales[[#This Row],[SalespersonName]]=tblCategorySales[[#This Row],[ExpectedSalespersonName]],"Match","Mismatch")</f>
        <v>Match</v>
      </c>
    </row>
    <row r="503" spans="1:13" x14ac:dyDescent="0.3">
      <c r="A503">
        <v>287</v>
      </c>
      <c r="B503" t="s">
        <v>42</v>
      </c>
      <c r="C503" t="s">
        <v>33</v>
      </c>
      <c r="D503">
        <v>2013</v>
      </c>
      <c r="E503">
        <v>4</v>
      </c>
      <c r="F503">
        <v>2</v>
      </c>
      <c r="G503" t="s">
        <v>73</v>
      </c>
      <c r="H503">
        <v>4</v>
      </c>
      <c r="I503">
        <v>201</v>
      </c>
      <c r="J503">
        <v>40735.379827999997</v>
      </c>
      <c r="K503" t="s">
        <v>75</v>
      </c>
      <c r="L503" t="str">
        <f>_xlfn.XLOOKUP(tblCategorySales[[#This Row],[SalesPersonID]],tblSalespersonSummary[SalesPersonID],tblSalespersonSummary[SalespersonName],"Not found")</f>
        <v>Amy Alberts</v>
      </c>
      <c r="M503" t="str">
        <f>IF(tblCategorySales[[#This Row],[SalespersonName]]=tblCategorySales[[#This Row],[ExpectedSalespersonName]],"Match","Mismatch")</f>
        <v>Match</v>
      </c>
    </row>
    <row r="504" spans="1:13" x14ac:dyDescent="0.3">
      <c r="A504">
        <v>283</v>
      </c>
      <c r="B504" t="s">
        <v>15</v>
      </c>
      <c r="C504" t="s">
        <v>16</v>
      </c>
      <c r="D504">
        <v>2013</v>
      </c>
      <c r="E504">
        <v>4</v>
      </c>
      <c r="F504">
        <v>4</v>
      </c>
      <c r="G504" t="s">
        <v>70</v>
      </c>
      <c r="H504">
        <v>6</v>
      </c>
      <c r="I504">
        <v>93</v>
      </c>
      <c r="J504">
        <v>2103.42</v>
      </c>
      <c r="K504" t="s">
        <v>75</v>
      </c>
      <c r="L504" t="str">
        <f>_xlfn.XLOOKUP(tblCategorySales[[#This Row],[SalesPersonID]],tblSalespersonSummary[SalesPersonID],tblSalespersonSummary[SalespersonName],"Not found")</f>
        <v>David Campbell</v>
      </c>
      <c r="M504" t="str">
        <f>IF(tblCategorySales[[#This Row],[SalespersonName]]=tblCategorySales[[#This Row],[ExpectedSalespersonName]],"Match","Mismatch")</f>
        <v>Match</v>
      </c>
    </row>
    <row r="505" spans="1:13" x14ac:dyDescent="0.3">
      <c r="A505">
        <v>283</v>
      </c>
      <c r="B505" t="s">
        <v>15</v>
      </c>
      <c r="C505" t="s">
        <v>16</v>
      </c>
      <c r="D505">
        <v>2013</v>
      </c>
      <c r="E505">
        <v>4</v>
      </c>
      <c r="F505">
        <v>1</v>
      </c>
      <c r="G505" t="s">
        <v>71</v>
      </c>
      <c r="H505">
        <v>18</v>
      </c>
      <c r="I505">
        <v>270</v>
      </c>
      <c r="J505">
        <v>260213.045308</v>
      </c>
      <c r="K505" t="s">
        <v>75</v>
      </c>
      <c r="L505" t="str">
        <f>_xlfn.XLOOKUP(tblCategorySales[[#This Row],[SalesPersonID]],tblSalespersonSummary[SalesPersonID],tblSalespersonSummary[SalespersonName],"Not found")</f>
        <v>David Campbell</v>
      </c>
      <c r="M505" t="str">
        <f>IF(tblCategorySales[[#This Row],[SalespersonName]]=tblCategorySales[[#This Row],[ExpectedSalespersonName]],"Match","Mismatch")</f>
        <v>Match</v>
      </c>
    </row>
    <row r="506" spans="1:13" x14ac:dyDescent="0.3">
      <c r="A506">
        <v>283</v>
      </c>
      <c r="B506" t="s">
        <v>15</v>
      </c>
      <c r="C506" t="s">
        <v>16</v>
      </c>
      <c r="D506">
        <v>2013</v>
      </c>
      <c r="E506">
        <v>4</v>
      </c>
      <c r="F506">
        <v>3</v>
      </c>
      <c r="G506" t="s">
        <v>72</v>
      </c>
      <c r="H506">
        <v>11</v>
      </c>
      <c r="I506">
        <v>193</v>
      </c>
      <c r="J506">
        <v>6404.9398499999998</v>
      </c>
      <c r="K506" t="s">
        <v>75</v>
      </c>
      <c r="L506" t="str">
        <f>_xlfn.XLOOKUP(tblCategorySales[[#This Row],[SalesPersonID]],tblSalespersonSummary[SalesPersonID],tblSalespersonSummary[SalespersonName],"Not found")</f>
        <v>David Campbell</v>
      </c>
      <c r="M506" t="str">
        <f>IF(tblCategorySales[[#This Row],[SalespersonName]]=tblCategorySales[[#This Row],[ExpectedSalespersonName]],"Match","Mismatch")</f>
        <v>Match</v>
      </c>
    </row>
    <row r="507" spans="1:13" x14ac:dyDescent="0.3">
      <c r="A507">
        <v>283</v>
      </c>
      <c r="B507" t="s">
        <v>15</v>
      </c>
      <c r="C507" t="s">
        <v>16</v>
      </c>
      <c r="D507">
        <v>2013</v>
      </c>
      <c r="E507">
        <v>4</v>
      </c>
      <c r="F507">
        <v>2</v>
      </c>
      <c r="G507" t="s">
        <v>73</v>
      </c>
      <c r="H507">
        <v>10</v>
      </c>
      <c r="I507">
        <v>214</v>
      </c>
      <c r="J507">
        <v>60040.836000000003</v>
      </c>
      <c r="K507" t="s">
        <v>75</v>
      </c>
      <c r="L507" t="str">
        <f>_xlfn.XLOOKUP(tblCategorySales[[#This Row],[SalesPersonID]],tblSalespersonSummary[SalesPersonID],tblSalespersonSummary[SalespersonName],"Not found")</f>
        <v>David Campbell</v>
      </c>
      <c r="M507" t="str">
        <f>IF(tblCategorySales[[#This Row],[SalespersonName]]=tblCategorySales[[#This Row],[ExpectedSalespersonName]],"Match","Mismatch")</f>
        <v>Match</v>
      </c>
    </row>
    <row r="508" spans="1:13" x14ac:dyDescent="0.3">
      <c r="A508">
        <v>278</v>
      </c>
      <c r="B508" t="s">
        <v>21</v>
      </c>
      <c r="C508" t="s">
        <v>22</v>
      </c>
      <c r="D508">
        <v>2013</v>
      </c>
      <c r="E508">
        <v>4</v>
      </c>
      <c r="F508">
        <v>4</v>
      </c>
      <c r="G508" t="s">
        <v>70</v>
      </c>
      <c r="H508">
        <v>8</v>
      </c>
      <c r="I508">
        <v>189</v>
      </c>
      <c r="J508">
        <v>4737.0808909999996</v>
      </c>
      <c r="K508" t="s">
        <v>75</v>
      </c>
      <c r="L508" t="str">
        <f>_xlfn.XLOOKUP(tblCategorySales[[#This Row],[SalesPersonID]],tblSalespersonSummary[SalesPersonID],tblSalespersonSummary[SalespersonName],"Not found")</f>
        <v>Garrett Vargas</v>
      </c>
      <c r="M508" t="str">
        <f>IF(tblCategorySales[[#This Row],[SalespersonName]]=tblCategorySales[[#This Row],[ExpectedSalespersonName]],"Match","Mismatch")</f>
        <v>Match</v>
      </c>
    </row>
    <row r="509" spans="1:13" x14ac:dyDescent="0.3">
      <c r="A509">
        <v>278</v>
      </c>
      <c r="B509" t="s">
        <v>21</v>
      </c>
      <c r="C509" t="s">
        <v>22</v>
      </c>
      <c r="D509">
        <v>2013</v>
      </c>
      <c r="E509">
        <v>4</v>
      </c>
      <c r="F509">
        <v>1</v>
      </c>
      <c r="G509" t="s">
        <v>71</v>
      </c>
      <c r="H509">
        <v>19</v>
      </c>
      <c r="I509">
        <v>350</v>
      </c>
      <c r="J509">
        <v>297517.99604400003</v>
      </c>
      <c r="K509" t="s">
        <v>75</v>
      </c>
      <c r="L509" t="str">
        <f>_xlfn.XLOOKUP(tblCategorySales[[#This Row],[SalesPersonID]],tblSalespersonSummary[SalesPersonID],tblSalespersonSummary[SalespersonName],"Not found")</f>
        <v>Garrett Vargas</v>
      </c>
      <c r="M509" t="str">
        <f>IF(tblCategorySales[[#This Row],[SalespersonName]]=tblCategorySales[[#This Row],[ExpectedSalespersonName]],"Match","Mismatch")</f>
        <v>Match</v>
      </c>
    </row>
    <row r="510" spans="1:13" x14ac:dyDescent="0.3">
      <c r="A510">
        <v>278</v>
      </c>
      <c r="B510" t="s">
        <v>21</v>
      </c>
      <c r="C510" t="s">
        <v>22</v>
      </c>
      <c r="D510">
        <v>2013</v>
      </c>
      <c r="E510">
        <v>4</v>
      </c>
      <c r="F510">
        <v>3</v>
      </c>
      <c r="G510" t="s">
        <v>72</v>
      </c>
      <c r="H510">
        <v>14</v>
      </c>
      <c r="I510">
        <v>346</v>
      </c>
      <c r="J510">
        <v>9535.340526</v>
      </c>
      <c r="K510" t="s">
        <v>75</v>
      </c>
      <c r="L510" t="str">
        <f>_xlfn.XLOOKUP(tblCategorySales[[#This Row],[SalesPersonID]],tblSalespersonSummary[SalesPersonID],tblSalespersonSummary[SalespersonName],"Not found")</f>
        <v>Garrett Vargas</v>
      </c>
      <c r="M510" t="str">
        <f>IF(tblCategorySales[[#This Row],[SalespersonName]]=tblCategorySales[[#This Row],[ExpectedSalespersonName]],"Match","Mismatch")</f>
        <v>Match</v>
      </c>
    </row>
    <row r="511" spans="1:13" x14ac:dyDescent="0.3">
      <c r="A511">
        <v>278</v>
      </c>
      <c r="B511" t="s">
        <v>21</v>
      </c>
      <c r="C511" t="s">
        <v>22</v>
      </c>
      <c r="D511">
        <v>2013</v>
      </c>
      <c r="E511">
        <v>4</v>
      </c>
      <c r="F511">
        <v>2</v>
      </c>
      <c r="G511" t="s">
        <v>73</v>
      </c>
      <c r="H511">
        <v>16</v>
      </c>
      <c r="I511">
        <v>111</v>
      </c>
      <c r="J511">
        <v>25193.25</v>
      </c>
      <c r="K511" t="s">
        <v>75</v>
      </c>
      <c r="L511" t="str">
        <f>_xlfn.XLOOKUP(tblCategorySales[[#This Row],[SalesPersonID]],tblSalespersonSummary[SalesPersonID],tblSalespersonSummary[SalespersonName],"Not found")</f>
        <v>Garrett Vargas</v>
      </c>
      <c r="M511" t="str">
        <f>IF(tblCategorySales[[#This Row],[SalespersonName]]=tblCategorySales[[#This Row],[ExpectedSalespersonName]],"Match","Mismatch")</f>
        <v>Match</v>
      </c>
    </row>
    <row r="512" spans="1:13" x14ac:dyDescent="0.3">
      <c r="A512">
        <v>289</v>
      </c>
      <c r="B512" t="s">
        <v>44</v>
      </c>
      <c r="C512" t="s">
        <v>45</v>
      </c>
      <c r="D512">
        <v>2013</v>
      </c>
      <c r="E512">
        <v>4</v>
      </c>
      <c r="F512">
        <v>4</v>
      </c>
      <c r="G512" t="s">
        <v>70</v>
      </c>
      <c r="H512">
        <v>15</v>
      </c>
      <c r="I512">
        <v>380</v>
      </c>
      <c r="J512">
        <v>10185.265084000001</v>
      </c>
      <c r="K512" t="s">
        <v>75</v>
      </c>
      <c r="L512" t="str">
        <f>_xlfn.XLOOKUP(tblCategorySales[[#This Row],[SalesPersonID]],tblSalespersonSummary[SalesPersonID],tblSalespersonSummary[SalespersonName],"Not found")</f>
        <v>Jae Pak</v>
      </c>
      <c r="M512" t="str">
        <f>IF(tblCategorySales[[#This Row],[SalespersonName]]=tblCategorySales[[#This Row],[ExpectedSalespersonName]],"Match","Mismatch")</f>
        <v>Match</v>
      </c>
    </row>
    <row r="513" spans="1:13" x14ac:dyDescent="0.3">
      <c r="A513">
        <v>289</v>
      </c>
      <c r="B513" t="s">
        <v>44</v>
      </c>
      <c r="C513" t="s">
        <v>45</v>
      </c>
      <c r="D513">
        <v>2013</v>
      </c>
      <c r="E513">
        <v>4</v>
      </c>
      <c r="F513">
        <v>1</v>
      </c>
      <c r="G513" t="s">
        <v>71</v>
      </c>
      <c r="H513">
        <v>35</v>
      </c>
      <c r="I513">
        <v>826</v>
      </c>
      <c r="J513">
        <v>756629.54399999999</v>
      </c>
      <c r="K513" t="s">
        <v>75</v>
      </c>
      <c r="L513" t="str">
        <f>_xlfn.XLOOKUP(tblCategorySales[[#This Row],[SalesPersonID]],tblSalespersonSummary[SalesPersonID],tblSalespersonSummary[SalespersonName],"Not found")</f>
        <v>Jae Pak</v>
      </c>
      <c r="M513" t="str">
        <f>IF(tblCategorySales[[#This Row],[SalespersonName]]=tblCategorySales[[#This Row],[ExpectedSalespersonName]],"Match","Mismatch")</f>
        <v>Match</v>
      </c>
    </row>
    <row r="514" spans="1:13" x14ac:dyDescent="0.3">
      <c r="A514">
        <v>289</v>
      </c>
      <c r="B514" t="s">
        <v>44</v>
      </c>
      <c r="C514" t="s">
        <v>45</v>
      </c>
      <c r="D514">
        <v>2013</v>
      </c>
      <c r="E514">
        <v>4</v>
      </c>
      <c r="F514">
        <v>3</v>
      </c>
      <c r="G514" t="s">
        <v>72</v>
      </c>
      <c r="H514">
        <v>33</v>
      </c>
      <c r="I514">
        <v>854</v>
      </c>
      <c r="J514">
        <v>24078.653424</v>
      </c>
      <c r="K514" t="s">
        <v>75</v>
      </c>
      <c r="L514" t="str">
        <f>_xlfn.XLOOKUP(tblCategorySales[[#This Row],[SalesPersonID]],tblSalespersonSummary[SalesPersonID],tblSalespersonSummary[SalespersonName],"Not found")</f>
        <v>Jae Pak</v>
      </c>
      <c r="M514" t="str">
        <f>IF(tblCategorySales[[#This Row],[SalespersonName]]=tblCategorySales[[#This Row],[ExpectedSalespersonName]],"Match","Mismatch")</f>
        <v>Match</v>
      </c>
    </row>
    <row r="515" spans="1:13" x14ac:dyDescent="0.3">
      <c r="A515">
        <v>289</v>
      </c>
      <c r="B515" t="s">
        <v>44</v>
      </c>
      <c r="C515" t="s">
        <v>45</v>
      </c>
      <c r="D515">
        <v>2013</v>
      </c>
      <c r="E515">
        <v>4</v>
      </c>
      <c r="F515">
        <v>2</v>
      </c>
      <c r="G515" t="s">
        <v>73</v>
      </c>
      <c r="H515">
        <v>30</v>
      </c>
      <c r="I515">
        <v>711</v>
      </c>
      <c r="J515">
        <v>143752.56271200001</v>
      </c>
      <c r="K515" t="s">
        <v>75</v>
      </c>
      <c r="L515" t="str">
        <f>_xlfn.XLOOKUP(tblCategorySales[[#This Row],[SalesPersonID]],tblSalespersonSummary[SalesPersonID],tblSalespersonSummary[SalespersonName],"Not found")</f>
        <v>Jae Pak</v>
      </c>
      <c r="M515" t="str">
        <f>IF(tblCategorySales[[#This Row],[SalespersonName]]=tblCategorySales[[#This Row],[ExpectedSalespersonName]],"Match","Mismatch")</f>
        <v>Match</v>
      </c>
    </row>
    <row r="516" spans="1:13" x14ac:dyDescent="0.3">
      <c r="A516">
        <v>277</v>
      </c>
      <c r="B516" t="s">
        <v>23</v>
      </c>
      <c r="C516" t="s">
        <v>24</v>
      </c>
      <c r="D516">
        <v>2013</v>
      </c>
      <c r="E516">
        <v>4</v>
      </c>
      <c r="F516">
        <v>4</v>
      </c>
      <c r="G516" t="s">
        <v>70</v>
      </c>
      <c r="H516">
        <v>14</v>
      </c>
      <c r="I516">
        <v>387</v>
      </c>
      <c r="J516">
        <v>9043.5652680000003</v>
      </c>
      <c r="K516" t="s">
        <v>74</v>
      </c>
      <c r="L516" t="str">
        <f>_xlfn.XLOOKUP(tblCategorySales[[#This Row],[SalesPersonID]],tblSalespersonSummary[SalesPersonID],tblSalespersonSummary[SalespersonName],"Not found")</f>
        <v>Jillian Carson</v>
      </c>
      <c r="M516" t="str">
        <f>IF(tblCategorySales[[#This Row],[SalespersonName]]=tblCategorySales[[#This Row],[ExpectedSalespersonName]],"Match","Mismatch")</f>
        <v>Match</v>
      </c>
    </row>
    <row r="517" spans="1:13" x14ac:dyDescent="0.3">
      <c r="A517">
        <v>277</v>
      </c>
      <c r="B517" t="s">
        <v>23</v>
      </c>
      <c r="C517" t="s">
        <v>24</v>
      </c>
      <c r="D517">
        <v>2013</v>
      </c>
      <c r="E517">
        <v>4</v>
      </c>
      <c r="F517">
        <v>1</v>
      </c>
      <c r="G517" t="s">
        <v>71</v>
      </c>
      <c r="H517">
        <v>36</v>
      </c>
      <c r="I517">
        <v>662</v>
      </c>
      <c r="J517">
        <v>545181.09500099998</v>
      </c>
      <c r="K517" t="s">
        <v>74</v>
      </c>
      <c r="L517" t="str">
        <f>_xlfn.XLOOKUP(tblCategorySales[[#This Row],[SalesPersonID]],tblSalespersonSummary[SalesPersonID],tblSalespersonSummary[SalespersonName],"Not found")</f>
        <v>Jillian Carson</v>
      </c>
      <c r="M517" t="str">
        <f>IF(tblCategorySales[[#This Row],[SalespersonName]]=tblCategorySales[[#This Row],[ExpectedSalespersonName]],"Match","Mismatch")</f>
        <v>Match</v>
      </c>
    </row>
    <row r="518" spans="1:13" x14ac:dyDescent="0.3">
      <c r="A518">
        <v>277</v>
      </c>
      <c r="B518" t="s">
        <v>23</v>
      </c>
      <c r="C518" t="s">
        <v>24</v>
      </c>
      <c r="D518">
        <v>2013</v>
      </c>
      <c r="E518">
        <v>4</v>
      </c>
      <c r="F518">
        <v>3</v>
      </c>
      <c r="G518" t="s">
        <v>72</v>
      </c>
      <c r="H518">
        <v>31</v>
      </c>
      <c r="I518">
        <v>858</v>
      </c>
      <c r="J518">
        <v>22433.737799999999</v>
      </c>
      <c r="K518" t="s">
        <v>74</v>
      </c>
      <c r="L518" t="str">
        <f>_xlfn.XLOOKUP(tblCategorySales[[#This Row],[SalesPersonID]],tblSalespersonSummary[SalesPersonID],tblSalespersonSummary[SalespersonName],"Not found")</f>
        <v>Jillian Carson</v>
      </c>
      <c r="M518" t="str">
        <f>IF(tblCategorySales[[#This Row],[SalespersonName]]=tblCategorySales[[#This Row],[ExpectedSalespersonName]],"Match","Mismatch")</f>
        <v>Match</v>
      </c>
    </row>
    <row r="519" spans="1:13" x14ac:dyDescent="0.3">
      <c r="A519">
        <v>277</v>
      </c>
      <c r="B519" t="s">
        <v>23</v>
      </c>
      <c r="C519" t="s">
        <v>24</v>
      </c>
      <c r="D519">
        <v>2013</v>
      </c>
      <c r="E519">
        <v>4</v>
      </c>
      <c r="F519">
        <v>2</v>
      </c>
      <c r="G519" t="s">
        <v>73</v>
      </c>
      <c r="H519">
        <v>32</v>
      </c>
      <c r="I519">
        <v>407</v>
      </c>
      <c r="J519">
        <v>81391.032000000007</v>
      </c>
      <c r="K519" t="s">
        <v>74</v>
      </c>
      <c r="L519" t="str">
        <f>_xlfn.XLOOKUP(tblCategorySales[[#This Row],[SalesPersonID]],tblSalespersonSummary[SalesPersonID],tblSalespersonSummary[SalespersonName],"Not found")</f>
        <v>Jillian Carson</v>
      </c>
      <c r="M519" t="str">
        <f>IF(tblCategorySales[[#This Row],[SalespersonName]]=tblCategorySales[[#This Row],[ExpectedSalespersonName]],"Match","Mismatch")</f>
        <v>Match</v>
      </c>
    </row>
    <row r="520" spans="1:13" x14ac:dyDescent="0.3">
      <c r="A520">
        <v>282</v>
      </c>
      <c r="B520" t="s">
        <v>25</v>
      </c>
      <c r="C520" t="s">
        <v>22</v>
      </c>
      <c r="D520">
        <v>2013</v>
      </c>
      <c r="E520">
        <v>4</v>
      </c>
      <c r="F520">
        <v>4</v>
      </c>
      <c r="G520" t="s">
        <v>70</v>
      </c>
      <c r="H520">
        <v>9</v>
      </c>
      <c r="I520">
        <v>191</v>
      </c>
      <c r="J520">
        <v>4817.1375840000001</v>
      </c>
      <c r="K520" t="s">
        <v>74</v>
      </c>
      <c r="L520" t="str">
        <f>_xlfn.XLOOKUP(tblCategorySales[[#This Row],[SalesPersonID]],tblSalespersonSummary[SalesPersonID],tblSalespersonSummary[SalespersonName],"Not found")</f>
        <v>José Saraiva</v>
      </c>
      <c r="M520" t="str">
        <f>IF(tblCategorySales[[#This Row],[SalespersonName]]=tblCategorySales[[#This Row],[ExpectedSalespersonName]],"Match","Mismatch")</f>
        <v>Match</v>
      </c>
    </row>
    <row r="521" spans="1:13" x14ac:dyDescent="0.3">
      <c r="A521">
        <v>282</v>
      </c>
      <c r="B521" t="s">
        <v>25</v>
      </c>
      <c r="C521" t="s">
        <v>22</v>
      </c>
      <c r="D521">
        <v>2013</v>
      </c>
      <c r="E521">
        <v>4</v>
      </c>
      <c r="F521">
        <v>1</v>
      </c>
      <c r="G521" t="s">
        <v>71</v>
      </c>
      <c r="H521">
        <v>21</v>
      </c>
      <c r="I521">
        <v>467</v>
      </c>
      <c r="J521">
        <v>401355.498433</v>
      </c>
      <c r="K521" t="s">
        <v>74</v>
      </c>
      <c r="L521" t="str">
        <f>_xlfn.XLOOKUP(tblCategorySales[[#This Row],[SalesPersonID]],tblSalespersonSummary[SalesPersonID],tblSalespersonSummary[SalespersonName],"Not found")</f>
        <v>José Saraiva</v>
      </c>
      <c r="M521" t="str">
        <f>IF(tblCategorySales[[#This Row],[SalespersonName]]=tblCategorySales[[#This Row],[ExpectedSalespersonName]],"Match","Mismatch")</f>
        <v>Match</v>
      </c>
    </row>
    <row r="522" spans="1:13" x14ac:dyDescent="0.3">
      <c r="A522">
        <v>282</v>
      </c>
      <c r="B522" t="s">
        <v>25</v>
      </c>
      <c r="C522" t="s">
        <v>22</v>
      </c>
      <c r="D522">
        <v>2013</v>
      </c>
      <c r="E522">
        <v>4</v>
      </c>
      <c r="F522">
        <v>3</v>
      </c>
      <c r="G522" t="s">
        <v>72</v>
      </c>
      <c r="H522">
        <v>13</v>
      </c>
      <c r="I522">
        <v>419</v>
      </c>
      <c r="J522">
        <v>11873.646527000001</v>
      </c>
      <c r="K522" t="s">
        <v>74</v>
      </c>
      <c r="L522" t="str">
        <f>_xlfn.XLOOKUP(tblCategorySales[[#This Row],[SalesPersonID]],tblSalespersonSummary[SalesPersonID],tblSalespersonSummary[SalespersonName],"Not found")</f>
        <v>José Saraiva</v>
      </c>
      <c r="M522" t="str">
        <f>IF(tblCategorySales[[#This Row],[SalespersonName]]=tblCategorySales[[#This Row],[ExpectedSalespersonName]],"Match","Mismatch")</f>
        <v>Match</v>
      </c>
    </row>
    <row r="523" spans="1:13" x14ac:dyDescent="0.3">
      <c r="A523">
        <v>282</v>
      </c>
      <c r="B523" t="s">
        <v>25</v>
      </c>
      <c r="C523" t="s">
        <v>22</v>
      </c>
      <c r="D523">
        <v>2013</v>
      </c>
      <c r="E523">
        <v>4</v>
      </c>
      <c r="F523">
        <v>2</v>
      </c>
      <c r="G523" t="s">
        <v>73</v>
      </c>
      <c r="H523">
        <v>12</v>
      </c>
      <c r="I523">
        <v>215</v>
      </c>
      <c r="J523">
        <v>48091.025999999998</v>
      </c>
      <c r="K523" t="s">
        <v>74</v>
      </c>
      <c r="L523" t="str">
        <f>_xlfn.XLOOKUP(tblCategorySales[[#This Row],[SalesPersonID]],tblSalespersonSummary[SalesPersonID],tblSalespersonSummary[SalespersonName],"Not found")</f>
        <v>José Saraiva</v>
      </c>
      <c r="M523" t="str">
        <f>IF(tblCategorySales[[#This Row],[SalespersonName]]=tblCategorySales[[#This Row],[ExpectedSalespersonName]],"Match","Mismatch")</f>
        <v>Match</v>
      </c>
    </row>
    <row r="524" spans="1:13" x14ac:dyDescent="0.3">
      <c r="A524">
        <v>276</v>
      </c>
      <c r="B524" t="s">
        <v>26</v>
      </c>
      <c r="C524" t="s">
        <v>27</v>
      </c>
      <c r="D524">
        <v>2013</v>
      </c>
      <c r="E524">
        <v>4</v>
      </c>
      <c r="F524">
        <v>4</v>
      </c>
      <c r="G524" t="s">
        <v>70</v>
      </c>
      <c r="H524">
        <v>14</v>
      </c>
      <c r="I524">
        <v>321</v>
      </c>
      <c r="J524">
        <v>7897.3980000000001</v>
      </c>
      <c r="K524" t="s">
        <v>75</v>
      </c>
      <c r="L524" t="str">
        <f>_xlfn.XLOOKUP(tblCategorySales[[#This Row],[SalesPersonID]],tblSalespersonSummary[SalesPersonID],tblSalespersonSummary[SalespersonName],"Not found")</f>
        <v>Linda Mitchell</v>
      </c>
      <c r="M524" t="str">
        <f>IF(tblCategorySales[[#This Row],[SalespersonName]]=tblCategorySales[[#This Row],[ExpectedSalespersonName]],"Match","Mismatch")</f>
        <v>Match</v>
      </c>
    </row>
    <row r="525" spans="1:13" x14ac:dyDescent="0.3">
      <c r="A525">
        <v>276</v>
      </c>
      <c r="B525" t="s">
        <v>26</v>
      </c>
      <c r="C525" t="s">
        <v>27</v>
      </c>
      <c r="D525">
        <v>2013</v>
      </c>
      <c r="E525">
        <v>4</v>
      </c>
      <c r="F525">
        <v>1</v>
      </c>
      <c r="G525" t="s">
        <v>71</v>
      </c>
      <c r="H525">
        <v>36</v>
      </c>
      <c r="I525">
        <v>918</v>
      </c>
      <c r="J525">
        <v>802281.89475099999</v>
      </c>
      <c r="K525" t="s">
        <v>75</v>
      </c>
      <c r="L525" t="str">
        <f>_xlfn.XLOOKUP(tblCategorySales[[#This Row],[SalesPersonID]],tblSalespersonSummary[SalesPersonID],tblSalespersonSummary[SalespersonName],"Not found")</f>
        <v>Linda Mitchell</v>
      </c>
      <c r="M525" t="str">
        <f>IF(tblCategorySales[[#This Row],[SalespersonName]]=tblCategorySales[[#This Row],[ExpectedSalespersonName]],"Match","Mismatch")</f>
        <v>Match</v>
      </c>
    </row>
    <row r="526" spans="1:13" x14ac:dyDescent="0.3">
      <c r="A526">
        <v>276</v>
      </c>
      <c r="B526" t="s">
        <v>26</v>
      </c>
      <c r="C526" t="s">
        <v>27</v>
      </c>
      <c r="D526">
        <v>2013</v>
      </c>
      <c r="E526">
        <v>4</v>
      </c>
      <c r="F526">
        <v>3</v>
      </c>
      <c r="G526" t="s">
        <v>72</v>
      </c>
      <c r="H526">
        <v>29</v>
      </c>
      <c r="I526">
        <v>777</v>
      </c>
      <c r="J526">
        <v>21337.886966999999</v>
      </c>
      <c r="K526" t="s">
        <v>75</v>
      </c>
      <c r="L526" t="str">
        <f>_xlfn.XLOOKUP(tblCategorySales[[#This Row],[SalesPersonID]],tblSalespersonSummary[SalesPersonID],tblSalespersonSummary[SalespersonName],"Not found")</f>
        <v>Linda Mitchell</v>
      </c>
      <c r="M526" t="str">
        <f>IF(tblCategorySales[[#This Row],[SalespersonName]]=tblCategorySales[[#This Row],[ExpectedSalespersonName]],"Match","Mismatch")</f>
        <v>Match</v>
      </c>
    </row>
    <row r="527" spans="1:13" x14ac:dyDescent="0.3">
      <c r="A527">
        <v>276</v>
      </c>
      <c r="B527" t="s">
        <v>26</v>
      </c>
      <c r="C527" t="s">
        <v>27</v>
      </c>
      <c r="D527">
        <v>2013</v>
      </c>
      <c r="E527">
        <v>4</v>
      </c>
      <c r="F527">
        <v>2</v>
      </c>
      <c r="G527" t="s">
        <v>73</v>
      </c>
      <c r="H527">
        <v>32</v>
      </c>
      <c r="I527">
        <v>420</v>
      </c>
      <c r="J527">
        <v>72642.342000000004</v>
      </c>
      <c r="K527" t="s">
        <v>75</v>
      </c>
      <c r="L527" t="str">
        <f>_xlfn.XLOOKUP(tblCategorySales[[#This Row],[SalesPersonID]],tblSalespersonSummary[SalesPersonID],tblSalespersonSummary[SalespersonName],"Not found")</f>
        <v>Linda Mitchell</v>
      </c>
      <c r="M527" t="str">
        <f>IF(tblCategorySales[[#This Row],[SalespersonName]]=tblCategorySales[[#This Row],[ExpectedSalespersonName]],"Match","Mismatch")</f>
        <v>Match</v>
      </c>
    </row>
    <row r="528" spans="1:13" x14ac:dyDescent="0.3">
      <c r="A528">
        <v>286</v>
      </c>
      <c r="B528" t="s">
        <v>54</v>
      </c>
      <c r="C528" t="s">
        <v>55</v>
      </c>
      <c r="D528">
        <v>2013</v>
      </c>
      <c r="E528">
        <v>4</v>
      </c>
      <c r="F528">
        <v>4</v>
      </c>
      <c r="G528" t="s">
        <v>70</v>
      </c>
      <c r="H528">
        <v>8</v>
      </c>
      <c r="I528">
        <v>201</v>
      </c>
      <c r="J528">
        <v>5354.1661080000003</v>
      </c>
      <c r="K528" t="s">
        <v>74</v>
      </c>
      <c r="L528" t="str">
        <f>_xlfn.XLOOKUP(tblCategorySales[[#This Row],[SalesPersonID]],tblSalespersonSummary[SalesPersonID],tblSalespersonSummary[SalespersonName],"Not found")</f>
        <v>Lynn Tsoflias</v>
      </c>
      <c r="M528" t="str">
        <f>IF(tblCategorySales[[#This Row],[SalespersonName]]=tblCategorySales[[#This Row],[ExpectedSalespersonName]],"Match","Mismatch")</f>
        <v>Match</v>
      </c>
    </row>
    <row r="529" spans="1:13" x14ac:dyDescent="0.3">
      <c r="A529">
        <v>286</v>
      </c>
      <c r="B529" t="s">
        <v>54</v>
      </c>
      <c r="C529" t="s">
        <v>55</v>
      </c>
      <c r="D529">
        <v>2013</v>
      </c>
      <c r="E529">
        <v>4</v>
      </c>
      <c r="F529">
        <v>1</v>
      </c>
      <c r="G529" t="s">
        <v>71</v>
      </c>
      <c r="H529">
        <v>20</v>
      </c>
      <c r="I529">
        <v>305</v>
      </c>
      <c r="J529">
        <v>273542.22600000002</v>
      </c>
      <c r="K529" t="s">
        <v>74</v>
      </c>
      <c r="L529" t="str">
        <f>_xlfn.XLOOKUP(tblCategorySales[[#This Row],[SalesPersonID]],tblSalespersonSummary[SalesPersonID],tblSalespersonSummary[SalespersonName],"Not found")</f>
        <v>Lynn Tsoflias</v>
      </c>
      <c r="M529" t="str">
        <f>IF(tblCategorySales[[#This Row],[SalespersonName]]=tblCategorySales[[#This Row],[ExpectedSalespersonName]],"Match","Mismatch")</f>
        <v>Match</v>
      </c>
    </row>
    <row r="530" spans="1:13" x14ac:dyDescent="0.3">
      <c r="A530">
        <v>286</v>
      </c>
      <c r="B530" t="s">
        <v>54</v>
      </c>
      <c r="C530" t="s">
        <v>55</v>
      </c>
      <c r="D530">
        <v>2013</v>
      </c>
      <c r="E530">
        <v>4</v>
      </c>
      <c r="F530">
        <v>3</v>
      </c>
      <c r="G530" t="s">
        <v>72</v>
      </c>
      <c r="H530">
        <v>14</v>
      </c>
      <c r="I530">
        <v>301</v>
      </c>
      <c r="J530">
        <v>8497.7884580000009</v>
      </c>
      <c r="K530" t="s">
        <v>74</v>
      </c>
      <c r="L530" t="str">
        <f>_xlfn.XLOOKUP(tblCategorySales[[#This Row],[SalesPersonID]],tblSalespersonSummary[SalesPersonID],tblSalespersonSummary[SalespersonName],"Not found")</f>
        <v>Lynn Tsoflias</v>
      </c>
      <c r="M530" t="str">
        <f>IF(tblCategorySales[[#This Row],[SalespersonName]]=tblCategorySales[[#This Row],[ExpectedSalespersonName]],"Match","Mismatch")</f>
        <v>Match</v>
      </c>
    </row>
    <row r="531" spans="1:13" x14ac:dyDescent="0.3">
      <c r="A531">
        <v>286</v>
      </c>
      <c r="B531" t="s">
        <v>54</v>
      </c>
      <c r="C531" t="s">
        <v>55</v>
      </c>
      <c r="D531">
        <v>2013</v>
      </c>
      <c r="E531">
        <v>4</v>
      </c>
      <c r="F531">
        <v>2</v>
      </c>
      <c r="G531" t="s">
        <v>73</v>
      </c>
      <c r="H531">
        <v>14</v>
      </c>
      <c r="I531">
        <v>171</v>
      </c>
      <c r="J531">
        <v>32995.788</v>
      </c>
      <c r="K531" t="s">
        <v>74</v>
      </c>
      <c r="L531" t="str">
        <f>_xlfn.XLOOKUP(tblCategorySales[[#This Row],[SalesPersonID]],tblSalespersonSummary[SalesPersonID],tblSalespersonSummary[SalespersonName],"Not found")</f>
        <v>Lynn Tsoflias</v>
      </c>
      <c r="M531" t="str">
        <f>IF(tblCategorySales[[#This Row],[SalespersonName]]=tblCategorySales[[#This Row],[ExpectedSalespersonName]],"Match","Mismatch")</f>
        <v>Match</v>
      </c>
    </row>
    <row r="532" spans="1:13" x14ac:dyDescent="0.3">
      <c r="A532">
        <v>275</v>
      </c>
      <c r="B532" t="s">
        <v>28</v>
      </c>
      <c r="C532" t="s">
        <v>29</v>
      </c>
      <c r="D532">
        <v>2013</v>
      </c>
      <c r="E532">
        <v>4</v>
      </c>
      <c r="F532">
        <v>4</v>
      </c>
      <c r="G532" t="s">
        <v>70</v>
      </c>
      <c r="H532">
        <v>7</v>
      </c>
      <c r="I532">
        <v>167</v>
      </c>
      <c r="J532">
        <v>3953.9474850000001</v>
      </c>
      <c r="K532" t="s">
        <v>74</v>
      </c>
      <c r="L532" t="str">
        <f>_xlfn.XLOOKUP(tblCategorySales[[#This Row],[SalesPersonID]],tblSalespersonSummary[SalesPersonID],tblSalespersonSummary[SalespersonName],"Not found")</f>
        <v>Michael Blythe</v>
      </c>
      <c r="M532" t="str">
        <f>IF(tblCategorySales[[#This Row],[SalespersonName]]=tblCategorySales[[#This Row],[ExpectedSalespersonName]],"Match","Mismatch")</f>
        <v>Match</v>
      </c>
    </row>
    <row r="533" spans="1:13" x14ac:dyDescent="0.3">
      <c r="A533">
        <v>275</v>
      </c>
      <c r="B533" t="s">
        <v>28</v>
      </c>
      <c r="C533" t="s">
        <v>29</v>
      </c>
      <c r="D533">
        <v>2013</v>
      </c>
      <c r="E533">
        <v>4</v>
      </c>
      <c r="F533">
        <v>1</v>
      </c>
      <c r="G533" t="s">
        <v>71</v>
      </c>
      <c r="H533">
        <v>34</v>
      </c>
      <c r="I533">
        <v>800</v>
      </c>
      <c r="J533">
        <v>719882.74004399998</v>
      </c>
      <c r="K533" t="s">
        <v>74</v>
      </c>
      <c r="L533" t="str">
        <f>_xlfn.XLOOKUP(tblCategorySales[[#This Row],[SalesPersonID]],tblSalespersonSummary[SalesPersonID],tblSalespersonSummary[SalespersonName],"Not found")</f>
        <v>Michael Blythe</v>
      </c>
      <c r="M533" t="str">
        <f>IF(tblCategorySales[[#This Row],[SalespersonName]]=tblCategorySales[[#This Row],[ExpectedSalespersonName]],"Match","Mismatch")</f>
        <v>Match</v>
      </c>
    </row>
    <row r="534" spans="1:13" x14ac:dyDescent="0.3">
      <c r="A534">
        <v>275</v>
      </c>
      <c r="B534" t="s">
        <v>28</v>
      </c>
      <c r="C534" t="s">
        <v>29</v>
      </c>
      <c r="D534">
        <v>2013</v>
      </c>
      <c r="E534">
        <v>4</v>
      </c>
      <c r="F534">
        <v>3</v>
      </c>
      <c r="G534" t="s">
        <v>72</v>
      </c>
      <c r="H534">
        <v>28</v>
      </c>
      <c r="I534">
        <v>492</v>
      </c>
      <c r="J534">
        <v>13234.590867999999</v>
      </c>
      <c r="K534" t="s">
        <v>74</v>
      </c>
      <c r="L534" t="str">
        <f>_xlfn.XLOOKUP(tblCategorySales[[#This Row],[SalesPersonID]],tblSalespersonSummary[SalesPersonID],tblSalespersonSummary[SalespersonName],"Not found")</f>
        <v>Michael Blythe</v>
      </c>
      <c r="M534" t="str">
        <f>IF(tblCategorySales[[#This Row],[SalespersonName]]=tblCategorySales[[#This Row],[ExpectedSalespersonName]],"Match","Mismatch")</f>
        <v>Match</v>
      </c>
    </row>
    <row r="535" spans="1:13" x14ac:dyDescent="0.3">
      <c r="A535">
        <v>275</v>
      </c>
      <c r="B535" t="s">
        <v>28</v>
      </c>
      <c r="C535" t="s">
        <v>29</v>
      </c>
      <c r="D535">
        <v>2013</v>
      </c>
      <c r="E535">
        <v>4</v>
      </c>
      <c r="F535">
        <v>2</v>
      </c>
      <c r="G535" t="s">
        <v>73</v>
      </c>
      <c r="H535">
        <v>31</v>
      </c>
      <c r="I535">
        <v>575</v>
      </c>
      <c r="J535">
        <v>111608.47457599999</v>
      </c>
      <c r="K535" t="s">
        <v>74</v>
      </c>
      <c r="L535" t="str">
        <f>_xlfn.XLOOKUP(tblCategorySales[[#This Row],[SalesPersonID]],tblSalespersonSummary[SalesPersonID],tblSalespersonSummary[SalespersonName],"Not found")</f>
        <v>Michael Blythe</v>
      </c>
      <c r="M535" t="str">
        <f>IF(tblCategorySales[[#This Row],[SalespersonName]]=tblCategorySales[[#This Row],[ExpectedSalespersonName]],"Match","Mismatch")</f>
        <v>Match</v>
      </c>
    </row>
    <row r="536" spans="1:13" x14ac:dyDescent="0.3">
      <c r="A536">
        <v>280</v>
      </c>
      <c r="B536" t="s">
        <v>30</v>
      </c>
      <c r="C536" t="s">
        <v>16</v>
      </c>
      <c r="D536">
        <v>2013</v>
      </c>
      <c r="E536">
        <v>4</v>
      </c>
      <c r="F536">
        <v>4</v>
      </c>
      <c r="G536" t="s">
        <v>70</v>
      </c>
      <c r="H536">
        <v>4</v>
      </c>
      <c r="I536">
        <v>74</v>
      </c>
      <c r="J536">
        <v>1599.3720000000001</v>
      </c>
      <c r="K536" t="s">
        <v>74</v>
      </c>
      <c r="L536" t="str">
        <f>_xlfn.XLOOKUP(tblCategorySales[[#This Row],[SalesPersonID]],tblSalespersonSummary[SalesPersonID],tblSalespersonSummary[SalespersonName],"Not found")</f>
        <v>Pamela Ansman-Wolfe</v>
      </c>
      <c r="M536" t="str">
        <f>IF(tblCategorySales[[#This Row],[SalespersonName]]=tblCategorySales[[#This Row],[ExpectedSalespersonName]],"Match","Mismatch")</f>
        <v>Match</v>
      </c>
    </row>
    <row r="537" spans="1:13" x14ac:dyDescent="0.3">
      <c r="A537">
        <v>280</v>
      </c>
      <c r="B537" t="s">
        <v>30</v>
      </c>
      <c r="C537" t="s">
        <v>16</v>
      </c>
      <c r="D537">
        <v>2013</v>
      </c>
      <c r="E537">
        <v>4</v>
      </c>
      <c r="F537">
        <v>1</v>
      </c>
      <c r="G537" t="s">
        <v>71</v>
      </c>
      <c r="H537">
        <v>6</v>
      </c>
      <c r="I537">
        <v>315</v>
      </c>
      <c r="J537">
        <v>277151.71926799999</v>
      </c>
      <c r="K537" t="s">
        <v>74</v>
      </c>
      <c r="L537" t="str">
        <f>_xlfn.XLOOKUP(tblCategorySales[[#This Row],[SalesPersonID]],tblSalespersonSummary[SalesPersonID],tblSalespersonSummary[SalespersonName],"Not found")</f>
        <v>Pamela Ansman-Wolfe</v>
      </c>
      <c r="M537" t="str">
        <f>IF(tblCategorySales[[#This Row],[SalespersonName]]=tblCategorySales[[#This Row],[ExpectedSalespersonName]],"Match","Mismatch")</f>
        <v>Match</v>
      </c>
    </row>
    <row r="538" spans="1:13" x14ac:dyDescent="0.3">
      <c r="A538">
        <v>280</v>
      </c>
      <c r="B538" t="s">
        <v>30</v>
      </c>
      <c r="C538" t="s">
        <v>16</v>
      </c>
      <c r="D538">
        <v>2013</v>
      </c>
      <c r="E538">
        <v>4</v>
      </c>
      <c r="F538">
        <v>3</v>
      </c>
      <c r="G538" t="s">
        <v>72</v>
      </c>
      <c r="H538">
        <v>5</v>
      </c>
      <c r="I538">
        <v>141</v>
      </c>
      <c r="J538">
        <v>4858.6775170000001</v>
      </c>
      <c r="K538" t="s">
        <v>74</v>
      </c>
      <c r="L538" t="str">
        <f>_xlfn.XLOOKUP(tblCategorySales[[#This Row],[SalesPersonID]],tblSalespersonSummary[SalesPersonID],tblSalespersonSummary[SalespersonName],"Not found")</f>
        <v>Pamela Ansman-Wolfe</v>
      </c>
      <c r="M538" t="str">
        <f>IF(tblCategorySales[[#This Row],[SalespersonName]]=tblCategorySales[[#This Row],[ExpectedSalespersonName]],"Match","Mismatch")</f>
        <v>Match</v>
      </c>
    </row>
    <row r="539" spans="1:13" x14ac:dyDescent="0.3">
      <c r="A539">
        <v>280</v>
      </c>
      <c r="B539" t="s">
        <v>30</v>
      </c>
      <c r="C539" t="s">
        <v>16</v>
      </c>
      <c r="D539">
        <v>2013</v>
      </c>
      <c r="E539">
        <v>4</v>
      </c>
      <c r="F539">
        <v>2</v>
      </c>
      <c r="G539" t="s">
        <v>73</v>
      </c>
      <c r="H539">
        <v>6</v>
      </c>
      <c r="I539">
        <v>205</v>
      </c>
      <c r="J539">
        <v>40557.065999999999</v>
      </c>
      <c r="K539" t="s">
        <v>74</v>
      </c>
      <c r="L539" t="str">
        <f>_xlfn.XLOOKUP(tblCategorySales[[#This Row],[SalesPersonID]],tblSalespersonSummary[SalesPersonID],tblSalespersonSummary[SalespersonName],"Not found")</f>
        <v>Pamela Ansman-Wolfe</v>
      </c>
      <c r="M539" t="str">
        <f>IF(tblCategorySales[[#This Row],[SalespersonName]]=tblCategorySales[[#This Row],[ExpectedSalespersonName]],"Match","Mismatch")</f>
        <v>Match</v>
      </c>
    </row>
    <row r="540" spans="1:13" x14ac:dyDescent="0.3">
      <c r="A540">
        <v>288</v>
      </c>
      <c r="B540" t="s">
        <v>56</v>
      </c>
      <c r="C540" t="s">
        <v>57</v>
      </c>
      <c r="D540">
        <v>2013</v>
      </c>
      <c r="E540">
        <v>4</v>
      </c>
      <c r="F540">
        <v>4</v>
      </c>
      <c r="G540" t="s">
        <v>70</v>
      </c>
      <c r="H540">
        <v>11</v>
      </c>
      <c r="I540">
        <v>257</v>
      </c>
      <c r="J540">
        <v>6499.9679999999998</v>
      </c>
      <c r="K540" t="s">
        <v>74</v>
      </c>
      <c r="L540" t="str">
        <f>_xlfn.XLOOKUP(tblCategorySales[[#This Row],[SalesPersonID]],tblSalespersonSummary[SalesPersonID],tblSalespersonSummary[SalespersonName],"Not found")</f>
        <v>Rachel Valdez</v>
      </c>
      <c r="M540" t="str">
        <f>IF(tblCategorySales[[#This Row],[SalespersonName]]=tblCategorySales[[#This Row],[ExpectedSalespersonName]],"Match","Mismatch")</f>
        <v>Match</v>
      </c>
    </row>
    <row r="541" spans="1:13" x14ac:dyDescent="0.3">
      <c r="A541">
        <v>288</v>
      </c>
      <c r="B541" t="s">
        <v>56</v>
      </c>
      <c r="C541" t="s">
        <v>57</v>
      </c>
      <c r="D541">
        <v>2013</v>
      </c>
      <c r="E541">
        <v>4</v>
      </c>
      <c r="F541">
        <v>1</v>
      </c>
      <c r="G541" t="s">
        <v>71</v>
      </c>
      <c r="H541">
        <v>23</v>
      </c>
      <c r="I541">
        <v>309</v>
      </c>
      <c r="J541">
        <v>284751.86865600001</v>
      </c>
      <c r="K541" t="s">
        <v>74</v>
      </c>
      <c r="L541" t="str">
        <f>_xlfn.XLOOKUP(tblCategorySales[[#This Row],[SalesPersonID]],tblSalespersonSummary[SalesPersonID],tblSalespersonSummary[SalespersonName],"Not found")</f>
        <v>Rachel Valdez</v>
      </c>
      <c r="M541" t="str">
        <f>IF(tblCategorySales[[#This Row],[SalespersonName]]=tblCategorySales[[#This Row],[ExpectedSalespersonName]],"Match","Mismatch")</f>
        <v>Match</v>
      </c>
    </row>
    <row r="542" spans="1:13" x14ac:dyDescent="0.3">
      <c r="A542">
        <v>288</v>
      </c>
      <c r="B542" t="s">
        <v>56</v>
      </c>
      <c r="C542" t="s">
        <v>57</v>
      </c>
      <c r="D542">
        <v>2013</v>
      </c>
      <c r="E542">
        <v>4</v>
      </c>
      <c r="F542">
        <v>3</v>
      </c>
      <c r="G542" t="s">
        <v>72</v>
      </c>
      <c r="H542">
        <v>15</v>
      </c>
      <c r="I542">
        <v>516</v>
      </c>
      <c r="J542">
        <v>14295.492901</v>
      </c>
      <c r="K542" t="s">
        <v>74</v>
      </c>
      <c r="L542" t="str">
        <f>_xlfn.XLOOKUP(tblCategorySales[[#This Row],[SalesPersonID]],tblSalespersonSummary[SalesPersonID],tblSalespersonSummary[SalespersonName],"Not found")</f>
        <v>Rachel Valdez</v>
      </c>
      <c r="M542" t="str">
        <f>IF(tblCategorySales[[#This Row],[SalespersonName]]=tblCategorySales[[#This Row],[ExpectedSalespersonName]],"Match","Mismatch")</f>
        <v>Match</v>
      </c>
    </row>
    <row r="543" spans="1:13" x14ac:dyDescent="0.3">
      <c r="A543">
        <v>288</v>
      </c>
      <c r="B543" t="s">
        <v>56</v>
      </c>
      <c r="C543" t="s">
        <v>57</v>
      </c>
      <c r="D543">
        <v>2013</v>
      </c>
      <c r="E543">
        <v>4</v>
      </c>
      <c r="F543">
        <v>2</v>
      </c>
      <c r="G543" t="s">
        <v>73</v>
      </c>
      <c r="H543">
        <v>20</v>
      </c>
      <c r="I543">
        <v>188</v>
      </c>
      <c r="J543">
        <v>59695.482000000004</v>
      </c>
      <c r="K543" t="s">
        <v>74</v>
      </c>
      <c r="L543" t="str">
        <f>_xlfn.XLOOKUP(tblCategorySales[[#This Row],[SalesPersonID]],tblSalespersonSummary[SalesPersonID],tblSalespersonSummary[SalespersonName],"Not found")</f>
        <v>Rachel Valdez</v>
      </c>
      <c r="M543" t="str">
        <f>IF(tblCategorySales[[#This Row],[SalespersonName]]=tblCategorySales[[#This Row],[ExpectedSalespersonName]],"Match","Mismatch")</f>
        <v>Match</v>
      </c>
    </row>
    <row r="544" spans="1:13" x14ac:dyDescent="0.3">
      <c r="A544">
        <v>290</v>
      </c>
      <c r="B544" t="s">
        <v>46</v>
      </c>
      <c r="C544" t="s">
        <v>47</v>
      </c>
      <c r="D544">
        <v>2013</v>
      </c>
      <c r="E544">
        <v>4</v>
      </c>
      <c r="F544">
        <v>4</v>
      </c>
      <c r="G544" t="s">
        <v>70</v>
      </c>
      <c r="H544">
        <v>8</v>
      </c>
      <c r="I544">
        <v>259</v>
      </c>
      <c r="J544">
        <v>6622.6662120000001</v>
      </c>
      <c r="K544" t="s">
        <v>74</v>
      </c>
      <c r="L544" t="str">
        <f>_xlfn.XLOOKUP(tblCategorySales[[#This Row],[SalesPersonID]],tblSalespersonSummary[SalesPersonID],tblSalespersonSummary[SalespersonName],"Not found")</f>
        <v>Ranjit Varkey Chudukatil</v>
      </c>
      <c r="M544" t="str">
        <f>IF(tblCategorySales[[#This Row],[SalespersonName]]=tblCategorySales[[#This Row],[ExpectedSalespersonName]],"Match","Mismatch")</f>
        <v>Match</v>
      </c>
    </row>
    <row r="545" spans="1:13" x14ac:dyDescent="0.3">
      <c r="A545">
        <v>290</v>
      </c>
      <c r="B545" t="s">
        <v>46</v>
      </c>
      <c r="C545" t="s">
        <v>47</v>
      </c>
      <c r="D545">
        <v>2013</v>
      </c>
      <c r="E545">
        <v>4</v>
      </c>
      <c r="F545">
        <v>1</v>
      </c>
      <c r="G545" t="s">
        <v>71</v>
      </c>
      <c r="H545">
        <v>24</v>
      </c>
      <c r="I545">
        <v>601</v>
      </c>
      <c r="J545">
        <v>539888.90735600004</v>
      </c>
      <c r="K545" t="s">
        <v>74</v>
      </c>
      <c r="L545" t="str">
        <f>_xlfn.XLOOKUP(tblCategorySales[[#This Row],[SalesPersonID]],tblSalespersonSummary[SalesPersonID],tblSalespersonSummary[SalespersonName],"Not found")</f>
        <v>Ranjit Varkey Chudukatil</v>
      </c>
      <c r="M545" t="str">
        <f>IF(tblCategorySales[[#This Row],[SalespersonName]]=tblCategorySales[[#This Row],[ExpectedSalespersonName]],"Match","Mismatch")</f>
        <v>Match</v>
      </c>
    </row>
    <row r="546" spans="1:13" x14ac:dyDescent="0.3">
      <c r="A546">
        <v>290</v>
      </c>
      <c r="B546" t="s">
        <v>46</v>
      </c>
      <c r="C546" t="s">
        <v>47</v>
      </c>
      <c r="D546">
        <v>2013</v>
      </c>
      <c r="E546">
        <v>4</v>
      </c>
      <c r="F546">
        <v>3</v>
      </c>
      <c r="G546" t="s">
        <v>72</v>
      </c>
      <c r="H546">
        <v>18</v>
      </c>
      <c r="I546">
        <v>482</v>
      </c>
      <c r="J546">
        <v>13880.359026</v>
      </c>
      <c r="K546" t="s">
        <v>74</v>
      </c>
      <c r="L546" t="str">
        <f>_xlfn.XLOOKUP(tblCategorySales[[#This Row],[SalesPersonID]],tblSalespersonSummary[SalesPersonID],tblSalespersonSummary[SalespersonName],"Not found")</f>
        <v>Ranjit Varkey Chudukatil</v>
      </c>
      <c r="M546" t="str">
        <f>IF(tblCategorySales[[#This Row],[SalespersonName]]=tblCategorySales[[#This Row],[ExpectedSalespersonName]],"Match","Mismatch")</f>
        <v>Match</v>
      </c>
    </row>
    <row r="547" spans="1:13" x14ac:dyDescent="0.3">
      <c r="A547">
        <v>290</v>
      </c>
      <c r="B547" t="s">
        <v>46</v>
      </c>
      <c r="C547" t="s">
        <v>47</v>
      </c>
      <c r="D547">
        <v>2013</v>
      </c>
      <c r="E547">
        <v>4</v>
      </c>
      <c r="F547">
        <v>2</v>
      </c>
      <c r="G547" t="s">
        <v>73</v>
      </c>
      <c r="H547">
        <v>15</v>
      </c>
      <c r="I547">
        <v>366</v>
      </c>
      <c r="J547">
        <v>86412.462</v>
      </c>
      <c r="K547" t="s">
        <v>74</v>
      </c>
      <c r="L547" t="str">
        <f>_xlfn.XLOOKUP(tblCategorySales[[#This Row],[SalesPersonID]],tblSalespersonSummary[SalesPersonID],tblSalespersonSummary[SalespersonName],"Not found")</f>
        <v>Ranjit Varkey Chudukatil</v>
      </c>
      <c r="M547" t="str">
        <f>IF(tblCategorySales[[#This Row],[SalespersonName]]=tblCategorySales[[#This Row],[ExpectedSalespersonName]],"Match","Mismatch")</f>
        <v>Match</v>
      </c>
    </row>
    <row r="548" spans="1:13" x14ac:dyDescent="0.3">
      <c r="A548">
        <v>281</v>
      </c>
      <c r="B548" t="s">
        <v>31</v>
      </c>
      <c r="C548" t="s">
        <v>27</v>
      </c>
      <c r="D548">
        <v>2013</v>
      </c>
      <c r="E548">
        <v>4</v>
      </c>
      <c r="F548">
        <v>4</v>
      </c>
      <c r="G548" t="s">
        <v>70</v>
      </c>
      <c r="H548">
        <v>8</v>
      </c>
      <c r="I548">
        <v>141</v>
      </c>
      <c r="J548">
        <v>3648.096</v>
      </c>
      <c r="K548" t="s">
        <v>74</v>
      </c>
      <c r="L548" t="str">
        <f>_xlfn.XLOOKUP(tblCategorySales[[#This Row],[SalesPersonID]],tblSalespersonSummary[SalesPersonID],tblSalespersonSummary[SalespersonName],"Not found")</f>
        <v>Shu Ito</v>
      </c>
      <c r="M548" t="str">
        <f>IF(tblCategorySales[[#This Row],[SalespersonName]]=tblCategorySales[[#This Row],[ExpectedSalespersonName]],"Match","Mismatch")</f>
        <v>Match</v>
      </c>
    </row>
    <row r="549" spans="1:13" x14ac:dyDescent="0.3">
      <c r="A549">
        <v>281</v>
      </c>
      <c r="B549" t="s">
        <v>31</v>
      </c>
      <c r="C549" t="s">
        <v>27</v>
      </c>
      <c r="D549">
        <v>2013</v>
      </c>
      <c r="E549">
        <v>4</v>
      </c>
      <c r="F549">
        <v>1</v>
      </c>
      <c r="G549" t="s">
        <v>71</v>
      </c>
      <c r="H549">
        <v>23</v>
      </c>
      <c r="I549">
        <v>564</v>
      </c>
      <c r="J549">
        <v>468478.73202</v>
      </c>
      <c r="K549" t="s">
        <v>74</v>
      </c>
      <c r="L549" t="str">
        <f>_xlfn.XLOOKUP(tblCategorySales[[#This Row],[SalesPersonID]],tblSalespersonSummary[SalesPersonID],tblSalespersonSummary[SalespersonName],"Not found")</f>
        <v>Shu Ito</v>
      </c>
      <c r="M549" t="str">
        <f>IF(tblCategorySales[[#This Row],[SalespersonName]]=tblCategorySales[[#This Row],[ExpectedSalespersonName]],"Match","Mismatch")</f>
        <v>Match</v>
      </c>
    </row>
    <row r="550" spans="1:13" x14ac:dyDescent="0.3">
      <c r="A550">
        <v>281</v>
      </c>
      <c r="B550" t="s">
        <v>31</v>
      </c>
      <c r="C550" t="s">
        <v>27</v>
      </c>
      <c r="D550">
        <v>2013</v>
      </c>
      <c r="E550">
        <v>4</v>
      </c>
      <c r="F550">
        <v>3</v>
      </c>
      <c r="G550" t="s">
        <v>72</v>
      </c>
      <c r="H550">
        <v>18</v>
      </c>
      <c r="I550">
        <v>384</v>
      </c>
      <c r="J550">
        <v>9797.3409329999995</v>
      </c>
      <c r="K550" t="s">
        <v>74</v>
      </c>
      <c r="L550" t="str">
        <f>_xlfn.XLOOKUP(tblCategorySales[[#This Row],[SalesPersonID]],tblSalespersonSummary[SalesPersonID],tblSalespersonSummary[SalespersonName],"Not found")</f>
        <v>Shu Ito</v>
      </c>
      <c r="M550" t="str">
        <f>IF(tblCategorySales[[#This Row],[SalespersonName]]=tblCategorySales[[#This Row],[ExpectedSalespersonName]],"Match","Mismatch")</f>
        <v>Match</v>
      </c>
    </row>
    <row r="551" spans="1:13" x14ac:dyDescent="0.3">
      <c r="A551">
        <v>281</v>
      </c>
      <c r="B551" t="s">
        <v>31</v>
      </c>
      <c r="C551" t="s">
        <v>27</v>
      </c>
      <c r="D551">
        <v>2013</v>
      </c>
      <c r="E551">
        <v>4</v>
      </c>
      <c r="F551">
        <v>2</v>
      </c>
      <c r="G551" t="s">
        <v>73</v>
      </c>
      <c r="H551">
        <v>21</v>
      </c>
      <c r="I551">
        <v>253</v>
      </c>
      <c r="J551">
        <v>46695.131999999998</v>
      </c>
      <c r="K551" t="s">
        <v>74</v>
      </c>
      <c r="L551" t="str">
        <f>_xlfn.XLOOKUP(tblCategorySales[[#This Row],[SalesPersonID]],tblSalespersonSummary[SalesPersonID],tblSalespersonSummary[SalespersonName],"Not found")</f>
        <v>Shu Ito</v>
      </c>
      <c r="M551" t="str">
        <f>IF(tblCategorySales[[#This Row],[SalespersonName]]=tblCategorySales[[#This Row],[ExpectedSalespersonName]],"Match","Mismatch")</f>
        <v>Match</v>
      </c>
    </row>
    <row r="552" spans="1:13" x14ac:dyDescent="0.3">
      <c r="A552">
        <v>274</v>
      </c>
      <c r="B552" t="s">
        <v>32</v>
      </c>
      <c r="C552" t="s">
        <v>33</v>
      </c>
      <c r="D552">
        <v>2013</v>
      </c>
      <c r="E552">
        <v>4</v>
      </c>
      <c r="F552">
        <v>1</v>
      </c>
      <c r="G552" t="s">
        <v>71</v>
      </c>
      <c r="H552">
        <v>1</v>
      </c>
      <c r="I552">
        <v>59</v>
      </c>
      <c r="J552">
        <v>61075.043268000001</v>
      </c>
      <c r="K552" t="s">
        <v>74</v>
      </c>
      <c r="L552" t="str">
        <f>_xlfn.XLOOKUP(tblCategorySales[[#This Row],[SalesPersonID]],tblSalespersonSummary[SalesPersonID],tblSalespersonSummary[SalespersonName],"Not found")</f>
        <v>Stephen Jiang</v>
      </c>
      <c r="M552" t="str">
        <f>IF(tblCategorySales[[#This Row],[SalespersonName]]=tblCategorySales[[#This Row],[ExpectedSalespersonName]],"Match","Mismatch")</f>
        <v>Match</v>
      </c>
    </row>
    <row r="553" spans="1:13" x14ac:dyDescent="0.3">
      <c r="A553">
        <v>274</v>
      </c>
      <c r="B553" t="s">
        <v>32</v>
      </c>
      <c r="C553" t="s">
        <v>33</v>
      </c>
      <c r="D553">
        <v>2013</v>
      </c>
      <c r="E553">
        <v>4</v>
      </c>
      <c r="F553">
        <v>3</v>
      </c>
      <c r="G553" t="s">
        <v>72</v>
      </c>
      <c r="H553">
        <v>2</v>
      </c>
      <c r="I553">
        <v>3</v>
      </c>
      <c r="J553">
        <v>122.08799999999999</v>
      </c>
      <c r="K553" t="s">
        <v>74</v>
      </c>
      <c r="L553" t="str">
        <f>_xlfn.XLOOKUP(tblCategorySales[[#This Row],[SalesPersonID]],tblSalespersonSummary[SalesPersonID],tblSalespersonSummary[SalespersonName],"Not found")</f>
        <v>Stephen Jiang</v>
      </c>
      <c r="M553" t="str">
        <f>IF(tblCategorySales[[#This Row],[SalespersonName]]=tblCategorySales[[#This Row],[ExpectedSalespersonName]],"Match","Mismatch")</f>
        <v>Match</v>
      </c>
    </row>
    <row r="554" spans="1:13" x14ac:dyDescent="0.3">
      <c r="A554">
        <v>274</v>
      </c>
      <c r="B554" t="s">
        <v>32</v>
      </c>
      <c r="C554" t="s">
        <v>33</v>
      </c>
      <c r="D554">
        <v>2013</v>
      </c>
      <c r="E554">
        <v>4</v>
      </c>
      <c r="F554">
        <v>2</v>
      </c>
      <c r="G554" t="s">
        <v>73</v>
      </c>
      <c r="H554">
        <v>1</v>
      </c>
      <c r="I554">
        <v>29</v>
      </c>
      <c r="J554">
        <v>9618.2279999999992</v>
      </c>
      <c r="K554" t="s">
        <v>74</v>
      </c>
      <c r="L554" t="str">
        <f>_xlfn.XLOOKUP(tblCategorySales[[#This Row],[SalesPersonID]],tblSalespersonSummary[SalesPersonID],tblSalespersonSummary[SalespersonName],"Not found")</f>
        <v>Stephen Jiang</v>
      </c>
      <c r="M554" t="str">
        <f>IF(tblCategorySales[[#This Row],[SalespersonName]]=tblCategorySales[[#This Row],[ExpectedSalespersonName]],"Match","Mismatch")</f>
        <v>Match</v>
      </c>
    </row>
    <row r="555" spans="1:13" x14ac:dyDescent="0.3">
      <c r="A555">
        <v>285</v>
      </c>
      <c r="B555" t="s">
        <v>58</v>
      </c>
      <c r="C555" t="s">
        <v>33</v>
      </c>
      <c r="D555">
        <v>2013</v>
      </c>
      <c r="E555">
        <v>4</v>
      </c>
      <c r="F555">
        <v>4</v>
      </c>
      <c r="G555" t="s">
        <v>70</v>
      </c>
      <c r="H555">
        <v>1</v>
      </c>
      <c r="I555">
        <v>43</v>
      </c>
      <c r="J555">
        <v>954.75</v>
      </c>
      <c r="K555" t="s">
        <v>75</v>
      </c>
      <c r="L555" t="str">
        <f>_xlfn.XLOOKUP(tblCategorySales[[#This Row],[SalesPersonID]],tblSalespersonSummary[SalesPersonID],tblSalespersonSummary[SalespersonName],"Not found")</f>
        <v>Syed Abbas</v>
      </c>
      <c r="M555" t="str">
        <f>IF(tblCategorySales[[#This Row],[SalespersonName]]=tblCategorySales[[#This Row],[ExpectedSalespersonName]],"Match","Mismatch")</f>
        <v>Match</v>
      </c>
    </row>
    <row r="556" spans="1:13" x14ac:dyDescent="0.3">
      <c r="A556">
        <v>285</v>
      </c>
      <c r="B556" t="s">
        <v>58</v>
      </c>
      <c r="C556" t="s">
        <v>33</v>
      </c>
      <c r="D556">
        <v>2013</v>
      </c>
      <c r="E556">
        <v>4</v>
      </c>
      <c r="F556">
        <v>1</v>
      </c>
      <c r="G556" t="s">
        <v>71</v>
      </c>
      <c r="H556">
        <v>5</v>
      </c>
      <c r="I556">
        <v>39</v>
      </c>
      <c r="J556">
        <v>31405.925999999999</v>
      </c>
      <c r="K556" t="s">
        <v>75</v>
      </c>
      <c r="L556" t="str">
        <f>_xlfn.XLOOKUP(tblCategorySales[[#This Row],[SalesPersonID]],tblSalespersonSummary[SalesPersonID],tblSalespersonSummary[SalespersonName],"Not found")</f>
        <v>Syed Abbas</v>
      </c>
      <c r="M556" t="str">
        <f>IF(tblCategorySales[[#This Row],[SalespersonName]]=tblCategorySales[[#This Row],[ExpectedSalespersonName]],"Match","Mismatch")</f>
        <v>Match</v>
      </c>
    </row>
    <row r="557" spans="1:13" x14ac:dyDescent="0.3">
      <c r="A557">
        <v>285</v>
      </c>
      <c r="B557" t="s">
        <v>58</v>
      </c>
      <c r="C557" t="s">
        <v>33</v>
      </c>
      <c r="D557">
        <v>2013</v>
      </c>
      <c r="E557">
        <v>4</v>
      </c>
      <c r="F557">
        <v>3</v>
      </c>
      <c r="G557" t="s">
        <v>72</v>
      </c>
      <c r="H557">
        <v>1</v>
      </c>
      <c r="I557">
        <v>38</v>
      </c>
      <c r="J557">
        <v>944.19600000000003</v>
      </c>
      <c r="K557" t="s">
        <v>75</v>
      </c>
      <c r="L557" t="str">
        <f>_xlfn.XLOOKUP(tblCategorySales[[#This Row],[SalesPersonID]],tblSalespersonSummary[SalesPersonID],tblSalespersonSummary[SalespersonName],"Not found")</f>
        <v>Syed Abbas</v>
      </c>
      <c r="M557" t="str">
        <f>IF(tblCategorySales[[#This Row],[SalespersonName]]=tblCategorySales[[#This Row],[ExpectedSalespersonName]],"Match","Mismatch")</f>
        <v>Match</v>
      </c>
    </row>
    <row r="558" spans="1:13" x14ac:dyDescent="0.3">
      <c r="A558">
        <v>285</v>
      </c>
      <c r="B558" t="s">
        <v>58</v>
      </c>
      <c r="C558" t="s">
        <v>33</v>
      </c>
      <c r="D558">
        <v>2013</v>
      </c>
      <c r="E558">
        <v>4</v>
      </c>
      <c r="F558">
        <v>2</v>
      </c>
      <c r="G558" t="s">
        <v>73</v>
      </c>
      <c r="H558">
        <v>2</v>
      </c>
      <c r="I558">
        <v>16</v>
      </c>
      <c r="J558">
        <v>3166.4279999999999</v>
      </c>
      <c r="K558" t="s">
        <v>75</v>
      </c>
      <c r="L558" t="str">
        <f>_xlfn.XLOOKUP(tblCategorySales[[#This Row],[SalesPersonID]],tblSalespersonSummary[SalesPersonID],tblSalespersonSummary[SalespersonName],"Not found")</f>
        <v>Syed Abbas</v>
      </c>
      <c r="M558" t="str">
        <f>IF(tblCategorySales[[#This Row],[SalespersonName]]=tblCategorySales[[#This Row],[ExpectedSalespersonName]],"Match","Mismatch")</f>
        <v>Match</v>
      </c>
    </row>
    <row r="559" spans="1:13" x14ac:dyDescent="0.3">
      <c r="A559">
        <v>284</v>
      </c>
      <c r="B559" t="s">
        <v>50</v>
      </c>
      <c r="C559" t="s">
        <v>16</v>
      </c>
      <c r="D559">
        <v>2013</v>
      </c>
      <c r="E559">
        <v>4</v>
      </c>
      <c r="F559">
        <v>4</v>
      </c>
      <c r="G559" t="s">
        <v>70</v>
      </c>
      <c r="H559">
        <v>4</v>
      </c>
      <c r="I559">
        <v>50</v>
      </c>
      <c r="J559">
        <v>1554.2159999999999</v>
      </c>
      <c r="K559" t="s">
        <v>74</v>
      </c>
      <c r="L559" t="str">
        <f>_xlfn.XLOOKUP(tblCategorySales[[#This Row],[SalesPersonID]],tblSalespersonSummary[SalesPersonID],tblSalespersonSummary[SalespersonName],"Not found")</f>
        <v>Tete Mensa-Annan</v>
      </c>
      <c r="M559" t="str">
        <f>IF(tblCategorySales[[#This Row],[SalespersonName]]=tblCategorySales[[#This Row],[ExpectedSalespersonName]],"Match","Mismatch")</f>
        <v>Match</v>
      </c>
    </row>
    <row r="560" spans="1:13" x14ac:dyDescent="0.3">
      <c r="A560">
        <v>284</v>
      </c>
      <c r="B560" t="s">
        <v>50</v>
      </c>
      <c r="C560" t="s">
        <v>16</v>
      </c>
      <c r="D560">
        <v>2013</v>
      </c>
      <c r="E560">
        <v>4</v>
      </c>
      <c r="F560">
        <v>1</v>
      </c>
      <c r="G560" t="s">
        <v>71</v>
      </c>
      <c r="H560">
        <v>21</v>
      </c>
      <c r="I560">
        <v>372</v>
      </c>
      <c r="J560">
        <v>316654.89600000001</v>
      </c>
      <c r="K560" t="s">
        <v>74</v>
      </c>
      <c r="L560" t="str">
        <f>_xlfn.XLOOKUP(tblCategorySales[[#This Row],[SalesPersonID]],tblSalespersonSummary[SalesPersonID],tblSalespersonSummary[SalespersonName],"Not found")</f>
        <v>Tete Mensa-Annan</v>
      </c>
      <c r="M560" t="str">
        <f>IF(tblCategorySales[[#This Row],[SalespersonName]]=tblCategorySales[[#This Row],[ExpectedSalespersonName]],"Match","Mismatch")</f>
        <v>Match</v>
      </c>
    </row>
    <row r="561" spans="1:13" x14ac:dyDescent="0.3">
      <c r="A561">
        <v>284</v>
      </c>
      <c r="B561" t="s">
        <v>50</v>
      </c>
      <c r="C561" t="s">
        <v>16</v>
      </c>
      <c r="D561">
        <v>2013</v>
      </c>
      <c r="E561">
        <v>4</v>
      </c>
      <c r="F561">
        <v>3</v>
      </c>
      <c r="G561" t="s">
        <v>72</v>
      </c>
      <c r="H561">
        <v>13</v>
      </c>
      <c r="I561">
        <v>169</v>
      </c>
      <c r="J561">
        <v>4451.4391249999999</v>
      </c>
      <c r="K561" t="s">
        <v>74</v>
      </c>
      <c r="L561" t="str">
        <f>_xlfn.XLOOKUP(tblCategorySales[[#This Row],[SalesPersonID]],tblSalespersonSummary[SalesPersonID],tblSalespersonSummary[SalespersonName],"Not found")</f>
        <v>Tete Mensa-Annan</v>
      </c>
      <c r="M561" t="str">
        <f>IF(tblCategorySales[[#This Row],[SalespersonName]]=tblCategorySales[[#This Row],[ExpectedSalespersonName]],"Match","Mismatch")</f>
        <v>Match</v>
      </c>
    </row>
    <row r="562" spans="1:13" x14ac:dyDescent="0.3">
      <c r="A562">
        <v>284</v>
      </c>
      <c r="B562" t="s">
        <v>50</v>
      </c>
      <c r="C562" t="s">
        <v>16</v>
      </c>
      <c r="D562">
        <v>2013</v>
      </c>
      <c r="E562">
        <v>4</v>
      </c>
      <c r="F562">
        <v>2</v>
      </c>
      <c r="G562" t="s">
        <v>73</v>
      </c>
      <c r="H562">
        <v>17</v>
      </c>
      <c r="I562">
        <v>154</v>
      </c>
      <c r="J562">
        <v>41175.563999999998</v>
      </c>
      <c r="K562" t="s">
        <v>74</v>
      </c>
      <c r="L562" t="str">
        <f>_xlfn.XLOOKUP(tblCategorySales[[#This Row],[SalesPersonID]],tblSalespersonSummary[SalesPersonID],tblSalespersonSummary[SalespersonName],"Not found")</f>
        <v>Tete Mensa-Annan</v>
      </c>
      <c r="M562" t="str">
        <f>IF(tblCategorySales[[#This Row],[SalespersonName]]=tblCategorySales[[#This Row],[ExpectedSalespersonName]],"Match","Mismatch")</f>
        <v>Match</v>
      </c>
    </row>
    <row r="563" spans="1:13" x14ac:dyDescent="0.3">
      <c r="A563">
        <v>279</v>
      </c>
      <c r="B563" t="s">
        <v>34</v>
      </c>
      <c r="C563" t="s">
        <v>35</v>
      </c>
      <c r="D563">
        <v>2013</v>
      </c>
      <c r="E563">
        <v>4</v>
      </c>
      <c r="F563">
        <v>4</v>
      </c>
      <c r="G563" t="s">
        <v>70</v>
      </c>
      <c r="H563">
        <v>8</v>
      </c>
      <c r="I563">
        <v>157</v>
      </c>
      <c r="J563">
        <v>3906.0277839999999</v>
      </c>
      <c r="K563" t="s">
        <v>74</v>
      </c>
      <c r="L563" t="str">
        <f>_xlfn.XLOOKUP(tblCategorySales[[#This Row],[SalesPersonID]],tblSalespersonSummary[SalesPersonID],tblSalespersonSummary[SalespersonName],"Not found")</f>
        <v>Tsvi Reiter</v>
      </c>
      <c r="M563" t="str">
        <f>IF(tblCategorySales[[#This Row],[SalespersonName]]=tblCategorySales[[#This Row],[ExpectedSalespersonName]],"Match","Mismatch")</f>
        <v>Match</v>
      </c>
    </row>
    <row r="564" spans="1:13" x14ac:dyDescent="0.3">
      <c r="A564">
        <v>279</v>
      </c>
      <c r="B564" t="s">
        <v>34</v>
      </c>
      <c r="C564" t="s">
        <v>35</v>
      </c>
      <c r="D564">
        <v>2013</v>
      </c>
      <c r="E564">
        <v>4</v>
      </c>
      <c r="F564">
        <v>1</v>
      </c>
      <c r="G564" t="s">
        <v>71</v>
      </c>
      <c r="H564">
        <v>35</v>
      </c>
      <c r="I564">
        <v>501</v>
      </c>
      <c r="J564">
        <v>419271.234</v>
      </c>
      <c r="K564" t="s">
        <v>74</v>
      </c>
      <c r="L564" t="str">
        <f>_xlfn.XLOOKUP(tblCategorySales[[#This Row],[SalesPersonID]],tblSalespersonSummary[SalesPersonID],tblSalespersonSummary[SalespersonName],"Not found")</f>
        <v>Tsvi Reiter</v>
      </c>
      <c r="M564" t="str">
        <f>IF(tblCategorySales[[#This Row],[SalespersonName]]=tblCategorySales[[#This Row],[ExpectedSalespersonName]],"Match","Mismatch")</f>
        <v>Match</v>
      </c>
    </row>
    <row r="565" spans="1:13" x14ac:dyDescent="0.3">
      <c r="A565">
        <v>279</v>
      </c>
      <c r="B565" t="s">
        <v>34</v>
      </c>
      <c r="C565" t="s">
        <v>35</v>
      </c>
      <c r="D565">
        <v>2013</v>
      </c>
      <c r="E565">
        <v>4</v>
      </c>
      <c r="F565">
        <v>3</v>
      </c>
      <c r="G565" t="s">
        <v>72</v>
      </c>
      <c r="H565">
        <v>24</v>
      </c>
      <c r="I565">
        <v>445</v>
      </c>
      <c r="J565">
        <v>12470.822177</v>
      </c>
      <c r="K565" t="s">
        <v>74</v>
      </c>
      <c r="L565" t="str">
        <f>_xlfn.XLOOKUP(tblCategorySales[[#This Row],[SalesPersonID]],tblSalespersonSummary[SalesPersonID],tblSalespersonSummary[SalespersonName],"Not found")</f>
        <v>Tsvi Reiter</v>
      </c>
      <c r="M565" t="str">
        <f>IF(tblCategorySales[[#This Row],[SalespersonName]]=tblCategorySales[[#This Row],[ExpectedSalespersonName]],"Match","Mismatch")</f>
        <v>Match</v>
      </c>
    </row>
    <row r="566" spans="1:13" x14ac:dyDescent="0.3">
      <c r="A566">
        <v>279</v>
      </c>
      <c r="B566" t="s">
        <v>34</v>
      </c>
      <c r="C566" t="s">
        <v>35</v>
      </c>
      <c r="D566">
        <v>2013</v>
      </c>
      <c r="E566">
        <v>4</v>
      </c>
      <c r="F566">
        <v>2</v>
      </c>
      <c r="G566" t="s">
        <v>73</v>
      </c>
      <c r="H566">
        <v>23</v>
      </c>
      <c r="I566">
        <v>227</v>
      </c>
      <c r="J566">
        <v>51363.498</v>
      </c>
      <c r="K566" t="s">
        <v>74</v>
      </c>
      <c r="L566" t="str">
        <f>_xlfn.XLOOKUP(tblCategorySales[[#This Row],[SalesPersonID]],tblSalespersonSummary[SalesPersonID],tblSalespersonSummary[SalespersonName],"Not found")</f>
        <v>Tsvi Reiter</v>
      </c>
      <c r="M566" t="str">
        <f>IF(tblCategorySales[[#This Row],[SalespersonName]]=tblCategorySales[[#This Row],[ExpectedSalespersonName]],"Match","Mismatch")</f>
        <v>Match</v>
      </c>
    </row>
    <row r="567" spans="1:13" x14ac:dyDescent="0.3">
      <c r="A567">
        <v>287</v>
      </c>
      <c r="B567" t="s">
        <v>42</v>
      </c>
      <c r="C567" t="s">
        <v>33</v>
      </c>
      <c r="D567">
        <v>2014</v>
      </c>
      <c r="E567">
        <v>1</v>
      </c>
      <c r="F567">
        <v>1</v>
      </c>
      <c r="G567" t="s">
        <v>71</v>
      </c>
      <c r="H567">
        <v>3</v>
      </c>
      <c r="I567">
        <v>65</v>
      </c>
      <c r="J567">
        <v>53937.112800000003</v>
      </c>
      <c r="K567" t="s">
        <v>75</v>
      </c>
      <c r="L567" t="str">
        <f>_xlfn.XLOOKUP(tblCategorySales[[#This Row],[SalesPersonID]],tblSalespersonSummary[SalesPersonID],tblSalespersonSummary[SalespersonName],"Not found")</f>
        <v>Amy Alberts</v>
      </c>
      <c r="M567" t="str">
        <f>IF(tblCategorySales[[#This Row],[SalespersonName]]=tblCategorySales[[#This Row],[ExpectedSalespersonName]],"Match","Mismatch")</f>
        <v>Match</v>
      </c>
    </row>
    <row r="568" spans="1:13" x14ac:dyDescent="0.3">
      <c r="A568">
        <v>287</v>
      </c>
      <c r="B568" t="s">
        <v>42</v>
      </c>
      <c r="C568" t="s">
        <v>33</v>
      </c>
      <c r="D568">
        <v>2014</v>
      </c>
      <c r="E568">
        <v>1</v>
      </c>
      <c r="F568">
        <v>3</v>
      </c>
      <c r="G568" t="s">
        <v>72</v>
      </c>
      <c r="H568">
        <v>1</v>
      </c>
      <c r="I568">
        <v>2</v>
      </c>
      <c r="J568">
        <v>116.98699999999999</v>
      </c>
      <c r="K568" t="s">
        <v>75</v>
      </c>
      <c r="L568" t="str">
        <f>_xlfn.XLOOKUP(tblCategorySales[[#This Row],[SalesPersonID]],tblSalespersonSummary[SalesPersonID],tblSalespersonSummary[SalespersonName],"Not found")</f>
        <v>Amy Alberts</v>
      </c>
      <c r="M568" t="str">
        <f>IF(tblCategorySales[[#This Row],[SalespersonName]]=tblCategorySales[[#This Row],[ExpectedSalespersonName]],"Match","Mismatch")</f>
        <v>Match</v>
      </c>
    </row>
    <row r="569" spans="1:13" x14ac:dyDescent="0.3">
      <c r="A569">
        <v>287</v>
      </c>
      <c r="B569" t="s">
        <v>42</v>
      </c>
      <c r="C569" t="s">
        <v>33</v>
      </c>
      <c r="D569">
        <v>2014</v>
      </c>
      <c r="E569">
        <v>1</v>
      </c>
      <c r="F569">
        <v>2</v>
      </c>
      <c r="G569" t="s">
        <v>73</v>
      </c>
      <c r="H569">
        <v>2</v>
      </c>
      <c r="I569">
        <v>15</v>
      </c>
      <c r="J569">
        <v>2583.6480000000001</v>
      </c>
      <c r="K569" t="s">
        <v>75</v>
      </c>
      <c r="L569" t="str">
        <f>_xlfn.XLOOKUP(tblCategorySales[[#This Row],[SalesPersonID]],tblSalespersonSummary[SalesPersonID],tblSalespersonSummary[SalespersonName],"Not found")</f>
        <v>Amy Alberts</v>
      </c>
      <c r="M569" t="str">
        <f>IF(tblCategorySales[[#This Row],[SalespersonName]]=tblCategorySales[[#This Row],[ExpectedSalespersonName]],"Match","Mismatch")</f>
        <v>Match</v>
      </c>
    </row>
    <row r="570" spans="1:13" x14ac:dyDescent="0.3">
      <c r="A570">
        <v>283</v>
      </c>
      <c r="B570" t="s">
        <v>15</v>
      </c>
      <c r="C570" t="s">
        <v>16</v>
      </c>
      <c r="D570">
        <v>2014</v>
      </c>
      <c r="E570">
        <v>1</v>
      </c>
      <c r="F570">
        <v>4</v>
      </c>
      <c r="G570" t="s">
        <v>70</v>
      </c>
      <c r="H570">
        <v>3</v>
      </c>
      <c r="I570">
        <v>73</v>
      </c>
      <c r="J570">
        <v>1767.0464199999999</v>
      </c>
      <c r="K570" t="s">
        <v>74</v>
      </c>
      <c r="L570" t="str">
        <f>_xlfn.XLOOKUP(tblCategorySales[[#This Row],[SalesPersonID]],tblSalespersonSummary[SalesPersonID],tblSalespersonSummary[SalespersonName],"Not found")</f>
        <v>David Campbell</v>
      </c>
      <c r="M570" t="str">
        <f>IF(tblCategorySales[[#This Row],[SalespersonName]]=tblCategorySales[[#This Row],[ExpectedSalespersonName]],"Match","Mismatch")</f>
        <v>Match</v>
      </c>
    </row>
    <row r="571" spans="1:13" x14ac:dyDescent="0.3">
      <c r="A571">
        <v>283</v>
      </c>
      <c r="B571" t="s">
        <v>15</v>
      </c>
      <c r="C571" t="s">
        <v>16</v>
      </c>
      <c r="D571">
        <v>2014</v>
      </c>
      <c r="E571">
        <v>1</v>
      </c>
      <c r="F571">
        <v>1</v>
      </c>
      <c r="G571" t="s">
        <v>71</v>
      </c>
      <c r="H571">
        <v>15</v>
      </c>
      <c r="I571">
        <v>316</v>
      </c>
      <c r="J571">
        <v>286755.600744</v>
      </c>
      <c r="K571" t="s">
        <v>74</v>
      </c>
      <c r="L571" t="str">
        <f>_xlfn.XLOOKUP(tblCategorySales[[#This Row],[SalesPersonID]],tblSalespersonSummary[SalesPersonID],tblSalespersonSummary[SalespersonName],"Not found")</f>
        <v>David Campbell</v>
      </c>
      <c r="M571" t="str">
        <f>IF(tblCategorySales[[#This Row],[SalespersonName]]=tblCategorySales[[#This Row],[ExpectedSalespersonName]],"Match","Mismatch")</f>
        <v>Match</v>
      </c>
    </row>
    <row r="572" spans="1:13" x14ac:dyDescent="0.3">
      <c r="A572">
        <v>283</v>
      </c>
      <c r="B572" t="s">
        <v>15</v>
      </c>
      <c r="C572" t="s">
        <v>16</v>
      </c>
      <c r="D572">
        <v>2014</v>
      </c>
      <c r="E572">
        <v>1</v>
      </c>
      <c r="F572">
        <v>3</v>
      </c>
      <c r="G572" t="s">
        <v>72</v>
      </c>
      <c r="H572">
        <v>9</v>
      </c>
      <c r="I572">
        <v>249</v>
      </c>
      <c r="J572">
        <v>7795.7053509999996</v>
      </c>
      <c r="K572" t="s">
        <v>74</v>
      </c>
      <c r="L572" t="str">
        <f>_xlfn.XLOOKUP(tblCategorySales[[#This Row],[SalesPersonID]],tblSalespersonSummary[SalesPersonID],tblSalespersonSummary[SalespersonName],"Not found")</f>
        <v>David Campbell</v>
      </c>
      <c r="M572" t="str">
        <f>IF(tblCategorySales[[#This Row],[SalespersonName]]=tblCategorySales[[#This Row],[ExpectedSalespersonName]],"Match","Mismatch")</f>
        <v>Match</v>
      </c>
    </row>
    <row r="573" spans="1:13" x14ac:dyDescent="0.3">
      <c r="A573">
        <v>283</v>
      </c>
      <c r="B573" t="s">
        <v>15</v>
      </c>
      <c r="C573" t="s">
        <v>16</v>
      </c>
      <c r="D573">
        <v>2014</v>
      </c>
      <c r="E573">
        <v>1</v>
      </c>
      <c r="F573">
        <v>2</v>
      </c>
      <c r="G573" t="s">
        <v>73</v>
      </c>
      <c r="H573">
        <v>14</v>
      </c>
      <c r="I573">
        <v>278</v>
      </c>
      <c r="J573">
        <v>52195.998</v>
      </c>
      <c r="K573" t="s">
        <v>74</v>
      </c>
      <c r="L573" t="str">
        <f>_xlfn.XLOOKUP(tblCategorySales[[#This Row],[SalesPersonID]],tblSalespersonSummary[SalesPersonID],tblSalespersonSummary[SalespersonName],"Not found")</f>
        <v>David Campbell</v>
      </c>
      <c r="M573" t="str">
        <f>IF(tblCategorySales[[#This Row],[SalespersonName]]=tblCategorySales[[#This Row],[ExpectedSalespersonName]],"Match","Mismatch")</f>
        <v>Match</v>
      </c>
    </row>
    <row r="574" spans="1:13" x14ac:dyDescent="0.3">
      <c r="A574">
        <v>278</v>
      </c>
      <c r="B574" t="s">
        <v>21</v>
      </c>
      <c r="C574" t="s">
        <v>22</v>
      </c>
      <c r="D574">
        <v>2014</v>
      </c>
      <c r="E574">
        <v>1</v>
      </c>
      <c r="F574">
        <v>4</v>
      </c>
      <c r="G574" t="s">
        <v>70</v>
      </c>
      <c r="H574">
        <v>11</v>
      </c>
      <c r="I574">
        <v>275</v>
      </c>
      <c r="J574">
        <v>6941.2334600000004</v>
      </c>
      <c r="K574" t="s">
        <v>74</v>
      </c>
      <c r="L574" t="str">
        <f>_xlfn.XLOOKUP(tblCategorySales[[#This Row],[SalesPersonID]],tblSalespersonSummary[SalesPersonID],tblSalespersonSummary[SalespersonName],"Not found")</f>
        <v>Garrett Vargas</v>
      </c>
      <c r="M574" t="str">
        <f>IF(tblCategorySales[[#This Row],[SalespersonName]]=tblCategorySales[[#This Row],[ExpectedSalespersonName]],"Match","Mismatch")</f>
        <v>Match</v>
      </c>
    </row>
    <row r="575" spans="1:13" x14ac:dyDescent="0.3">
      <c r="A575">
        <v>278</v>
      </c>
      <c r="B575" t="s">
        <v>21</v>
      </c>
      <c r="C575" t="s">
        <v>22</v>
      </c>
      <c r="D575">
        <v>2014</v>
      </c>
      <c r="E575">
        <v>1</v>
      </c>
      <c r="F575">
        <v>1</v>
      </c>
      <c r="G575" t="s">
        <v>71</v>
      </c>
      <c r="H575">
        <v>20</v>
      </c>
      <c r="I575">
        <v>297</v>
      </c>
      <c r="J575">
        <v>240529.08360000001</v>
      </c>
      <c r="K575" t="s">
        <v>74</v>
      </c>
      <c r="L575" t="str">
        <f>_xlfn.XLOOKUP(tblCategorySales[[#This Row],[SalesPersonID]],tblSalespersonSummary[SalesPersonID],tblSalespersonSummary[SalespersonName],"Not found")</f>
        <v>Garrett Vargas</v>
      </c>
      <c r="M575" t="str">
        <f>IF(tblCategorySales[[#This Row],[SalespersonName]]=tblCategorySales[[#This Row],[ExpectedSalespersonName]],"Match","Mismatch")</f>
        <v>Match</v>
      </c>
    </row>
    <row r="576" spans="1:13" x14ac:dyDescent="0.3">
      <c r="A576">
        <v>278</v>
      </c>
      <c r="B576" t="s">
        <v>21</v>
      </c>
      <c r="C576" t="s">
        <v>22</v>
      </c>
      <c r="D576">
        <v>2014</v>
      </c>
      <c r="E576">
        <v>1</v>
      </c>
      <c r="F576">
        <v>3</v>
      </c>
      <c r="G576" t="s">
        <v>72</v>
      </c>
      <c r="H576">
        <v>15</v>
      </c>
      <c r="I576">
        <v>479</v>
      </c>
      <c r="J576">
        <v>13061.057874</v>
      </c>
      <c r="K576" t="s">
        <v>74</v>
      </c>
      <c r="L576" t="str">
        <f>_xlfn.XLOOKUP(tblCategorySales[[#This Row],[SalesPersonID]],tblSalespersonSummary[SalesPersonID],tblSalespersonSummary[SalespersonName],"Not found")</f>
        <v>Garrett Vargas</v>
      </c>
      <c r="M576" t="str">
        <f>IF(tblCategorySales[[#This Row],[SalespersonName]]=tblCategorySales[[#This Row],[ExpectedSalespersonName]],"Match","Mismatch")</f>
        <v>Match</v>
      </c>
    </row>
    <row r="577" spans="1:13" x14ac:dyDescent="0.3">
      <c r="A577">
        <v>278</v>
      </c>
      <c r="B577" t="s">
        <v>21</v>
      </c>
      <c r="C577" t="s">
        <v>22</v>
      </c>
      <c r="D577">
        <v>2014</v>
      </c>
      <c r="E577">
        <v>1</v>
      </c>
      <c r="F577">
        <v>2</v>
      </c>
      <c r="G577" t="s">
        <v>73</v>
      </c>
      <c r="H577">
        <v>18</v>
      </c>
      <c r="I577">
        <v>151</v>
      </c>
      <c r="J577">
        <v>30004.572</v>
      </c>
      <c r="K577" t="s">
        <v>74</v>
      </c>
      <c r="L577" t="str">
        <f>_xlfn.XLOOKUP(tblCategorySales[[#This Row],[SalesPersonID]],tblSalespersonSummary[SalesPersonID],tblSalespersonSummary[SalespersonName],"Not found")</f>
        <v>Garrett Vargas</v>
      </c>
      <c r="M577" t="str">
        <f>IF(tblCategorySales[[#This Row],[SalespersonName]]=tblCategorySales[[#This Row],[ExpectedSalespersonName]],"Match","Mismatch")</f>
        <v>Match</v>
      </c>
    </row>
    <row r="578" spans="1:13" x14ac:dyDescent="0.3">
      <c r="A578">
        <v>289</v>
      </c>
      <c r="B578" t="s">
        <v>44</v>
      </c>
      <c r="C578" t="s">
        <v>45</v>
      </c>
      <c r="D578">
        <v>2014</v>
      </c>
      <c r="E578">
        <v>1</v>
      </c>
      <c r="F578">
        <v>4</v>
      </c>
      <c r="G578" t="s">
        <v>70</v>
      </c>
      <c r="H578">
        <v>18</v>
      </c>
      <c r="I578">
        <v>426</v>
      </c>
      <c r="J578">
        <v>10555.235640000001</v>
      </c>
      <c r="K578" t="s">
        <v>74</v>
      </c>
      <c r="L578" t="str">
        <f>_xlfn.XLOOKUP(tblCategorySales[[#This Row],[SalesPersonID]],tblSalespersonSummary[SalesPersonID],tblSalespersonSummary[SalespersonName],"Not found")</f>
        <v>Jae Pak</v>
      </c>
      <c r="M578" t="str">
        <f>IF(tblCategorySales[[#This Row],[SalespersonName]]=tblCategorySales[[#This Row],[ExpectedSalespersonName]],"Match","Mismatch")</f>
        <v>Match</v>
      </c>
    </row>
    <row r="579" spans="1:13" x14ac:dyDescent="0.3">
      <c r="A579">
        <v>289</v>
      </c>
      <c r="B579" t="s">
        <v>44</v>
      </c>
      <c r="C579" t="s">
        <v>45</v>
      </c>
      <c r="D579">
        <v>2014</v>
      </c>
      <c r="E579">
        <v>1</v>
      </c>
      <c r="F579">
        <v>1</v>
      </c>
      <c r="G579" t="s">
        <v>71</v>
      </c>
      <c r="H579">
        <v>36</v>
      </c>
      <c r="I579">
        <v>844</v>
      </c>
      <c r="J579">
        <v>747226.66084499995</v>
      </c>
      <c r="K579" t="s">
        <v>74</v>
      </c>
      <c r="L579" t="str">
        <f>_xlfn.XLOOKUP(tblCategorySales[[#This Row],[SalesPersonID]],tblSalespersonSummary[SalesPersonID],tblSalespersonSummary[SalespersonName],"Not found")</f>
        <v>Jae Pak</v>
      </c>
      <c r="M579" t="str">
        <f>IF(tblCategorySales[[#This Row],[SalespersonName]]=tblCategorySales[[#This Row],[ExpectedSalespersonName]],"Match","Mismatch")</f>
        <v>Match</v>
      </c>
    </row>
    <row r="580" spans="1:13" x14ac:dyDescent="0.3">
      <c r="A580">
        <v>289</v>
      </c>
      <c r="B580" t="s">
        <v>44</v>
      </c>
      <c r="C580" t="s">
        <v>45</v>
      </c>
      <c r="D580">
        <v>2014</v>
      </c>
      <c r="E580">
        <v>1</v>
      </c>
      <c r="F580">
        <v>3</v>
      </c>
      <c r="G580" t="s">
        <v>72</v>
      </c>
      <c r="H580">
        <v>32</v>
      </c>
      <c r="I580">
        <v>948</v>
      </c>
      <c r="J580">
        <v>28143.560281999999</v>
      </c>
      <c r="K580" t="s">
        <v>74</v>
      </c>
      <c r="L580" t="str">
        <f>_xlfn.XLOOKUP(tblCategorySales[[#This Row],[SalesPersonID]],tblSalespersonSummary[SalesPersonID],tblSalespersonSummary[SalespersonName],"Not found")</f>
        <v>Jae Pak</v>
      </c>
      <c r="M580" t="str">
        <f>IF(tblCategorySales[[#This Row],[SalespersonName]]=tblCategorySales[[#This Row],[ExpectedSalespersonName]],"Match","Mismatch")</f>
        <v>Match</v>
      </c>
    </row>
    <row r="581" spans="1:13" x14ac:dyDescent="0.3">
      <c r="A581">
        <v>289</v>
      </c>
      <c r="B581" t="s">
        <v>44</v>
      </c>
      <c r="C581" t="s">
        <v>45</v>
      </c>
      <c r="D581">
        <v>2014</v>
      </c>
      <c r="E581">
        <v>1</v>
      </c>
      <c r="F581">
        <v>2</v>
      </c>
      <c r="G581" t="s">
        <v>73</v>
      </c>
      <c r="H581">
        <v>31</v>
      </c>
      <c r="I581">
        <v>709</v>
      </c>
      <c r="J581">
        <v>157287.07459199999</v>
      </c>
      <c r="K581" t="s">
        <v>74</v>
      </c>
      <c r="L581" t="str">
        <f>_xlfn.XLOOKUP(tblCategorySales[[#This Row],[SalesPersonID]],tblSalespersonSummary[SalesPersonID],tblSalespersonSummary[SalespersonName],"Not found")</f>
        <v>Jae Pak</v>
      </c>
      <c r="M581" t="str">
        <f>IF(tblCategorySales[[#This Row],[SalespersonName]]=tblCategorySales[[#This Row],[ExpectedSalespersonName]],"Match","Mismatch")</f>
        <v>Match</v>
      </c>
    </row>
    <row r="582" spans="1:13" x14ac:dyDescent="0.3">
      <c r="A582">
        <v>277</v>
      </c>
      <c r="B582" t="s">
        <v>23</v>
      </c>
      <c r="C582" t="s">
        <v>24</v>
      </c>
      <c r="D582">
        <v>2014</v>
      </c>
      <c r="E582">
        <v>1</v>
      </c>
      <c r="F582">
        <v>4</v>
      </c>
      <c r="G582" t="s">
        <v>70</v>
      </c>
      <c r="H582">
        <v>22</v>
      </c>
      <c r="I582">
        <v>463</v>
      </c>
      <c r="J582">
        <v>10658.342119000001</v>
      </c>
      <c r="K582" t="s">
        <v>74</v>
      </c>
      <c r="L582" t="str">
        <f>_xlfn.XLOOKUP(tblCategorySales[[#This Row],[SalesPersonID]],tblSalespersonSummary[SalesPersonID],tblSalespersonSummary[SalespersonName],"Not found")</f>
        <v>Jillian Carson</v>
      </c>
      <c r="M582" t="str">
        <f>IF(tblCategorySales[[#This Row],[SalespersonName]]=tblCategorySales[[#This Row],[ExpectedSalespersonName]],"Match","Mismatch")</f>
        <v>Match</v>
      </c>
    </row>
    <row r="583" spans="1:13" x14ac:dyDescent="0.3">
      <c r="A583">
        <v>277</v>
      </c>
      <c r="B583" t="s">
        <v>23</v>
      </c>
      <c r="C583" t="s">
        <v>24</v>
      </c>
      <c r="D583">
        <v>2014</v>
      </c>
      <c r="E583">
        <v>1</v>
      </c>
      <c r="F583">
        <v>1</v>
      </c>
      <c r="G583" t="s">
        <v>71</v>
      </c>
      <c r="H583">
        <v>34</v>
      </c>
      <c r="I583">
        <v>656</v>
      </c>
      <c r="J583">
        <v>562834.19267599995</v>
      </c>
      <c r="K583" t="s">
        <v>74</v>
      </c>
      <c r="L583" t="str">
        <f>_xlfn.XLOOKUP(tblCategorySales[[#This Row],[SalesPersonID]],tblSalespersonSummary[SalesPersonID],tblSalespersonSummary[SalespersonName],"Not found")</f>
        <v>Jillian Carson</v>
      </c>
      <c r="M583" t="str">
        <f>IF(tblCategorySales[[#This Row],[SalespersonName]]=tblCategorySales[[#This Row],[ExpectedSalespersonName]],"Match","Mismatch")</f>
        <v>Match</v>
      </c>
    </row>
    <row r="584" spans="1:13" x14ac:dyDescent="0.3">
      <c r="A584">
        <v>277</v>
      </c>
      <c r="B584" t="s">
        <v>23</v>
      </c>
      <c r="C584" t="s">
        <v>24</v>
      </c>
      <c r="D584">
        <v>2014</v>
      </c>
      <c r="E584">
        <v>1</v>
      </c>
      <c r="F584">
        <v>3</v>
      </c>
      <c r="G584" t="s">
        <v>72</v>
      </c>
      <c r="H584">
        <v>30</v>
      </c>
      <c r="I584">
        <v>902</v>
      </c>
      <c r="J584">
        <v>23915.580385000001</v>
      </c>
      <c r="K584" t="s">
        <v>74</v>
      </c>
      <c r="L584" t="str">
        <f>_xlfn.XLOOKUP(tblCategorySales[[#This Row],[SalesPersonID]],tblSalespersonSummary[SalesPersonID],tblSalespersonSummary[SalespersonName],"Not found")</f>
        <v>Jillian Carson</v>
      </c>
      <c r="M584" t="str">
        <f>IF(tblCategorySales[[#This Row],[SalespersonName]]=tblCategorySales[[#This Row],[ExpectedSalespersonName]],"Match","Mismatch")</f>
        <v>Match</v>
      </c>
    </row>
    <row r="585" spans="1:13" x14ac:dyDescent="0.3">
      <c r="A585">
        <v>277</v>
      </c>
      <c r="B585" t="s">
        <v>23</v>
      </c>
      <c r="C585" t="s">
        <v>24</v>
      </c>
      <c r="D585">
        <v>2014</v>
      </c>
      <c r="E585">
        <v>1</v>
      </c>
      <c r="F585">
        <v>2</v>
      </c>
      <c r="G585" t="s">
        <v>73</v>
      </c>
      <c r="H585">
        <v>39</v>
      </c>
      <c r="I585">
        <v>470</v>
      </c>
      <c r="J585">
        <v>104699.07</v>
      </c>
      <c r="K585" t="s">
        <v>74</v>
      </c>
      <c r="L585" t="str">
        <f>_xlfn.XLOOKUP(tblCategorySales[[#This Row],[SalesPersonID]],tblSalespersonSummary[SalesPersonID],tblSalespersonSummary[SalespersonName],"Not found")</f>
        <v>Jillian Carson</v>
      </c>
      <c r="M585" t="str">
        <f>IF(tblCategorySales[[#This Row],[SalespersonName]]=tblCategorySales[[#This Row],[ExpectedSalespersonName]],"Match","Mismatch")</f>
        <v>Match</v>
      </c>
    </row>
    <row r="586" spans="1:13" x14ac:dyDescent="0.3">
      <c r="A586">
        <v>282</v>
      </c>
      <c r="B586" t="s">
        <v>25</v>
      </c>
      <c r="C586" t="s">
        <v>22</v>
      </c>
      <c r="D586">
        <v>2014</v>
      </c>
      <c r="E586">
        <v>1</v>
      </c>
      <c r="F586">
        <v>4</v>
      </c>
      <c r="G586" t="s">
        <v>70</v>
      </c>
      <c r="H586">
        <v>15</v>
      </c>
      <c r="I586">
        <v>312</v>
      </c>
      <c r="J586">
        <v>7677.6087230000003</v>
      </c>
      <c r="K586" t="s">
        <v>74</v>
      </c>
      <c r="L586" t="str">
        <f>_xlfn.XLOOKUP(tblCategorySales[[#This Row],[SalesPersonID]],tblSalespersonSummary[SalesPersonID],tblSalespersonSummary[SalespersonName],"Not found")</f>
        <v>José Saraiva</v>
      </c>
      <c r="M586" t="str">
        <f>IF(tblCategorySales[[#This Row],[SalespersonName]]=tblCategorySales[[#This Row],[ExpectedSalespersonName]],"Match","Mismatch")</f>
        <v>Match</v>
      </c>
    </row>
    <row r="587" spans="1:13" x14ac:dyDescent="0.3">
      <c r="A587">
        <v>282</v>
      </c>
      <c r="B587" t="s">
        <v>25</v>
      </c>
      <c r="C587" t="s">
        <v>22</v>
      </c>
      <c r="D587">
        <v>2014</v>
      </c>
      <c r="E587">
        <v>1</v>
      </c>
      <c r="F587">
        <v>1</v>
      </c>
      <c r="G587" t="s">
        <v>71</v>
      </c>
      <c r="H587">
        <v>21</v>
      </c>
      <c r="I587">
        <v>608</v>
      </c>
      <c r="J587">
        <v>514536.574532</v>
      </c>
      <c r="K587" t="s">
        <v>74</v>
      </c>
      <c r="L587" t="str">
        <f>_xlfn.XLOOKUP(tblCategorySales[[#This Row],[SalesPersonID]],tblSalespersonSummary[SalesPersonID],tblSalespersonSummary[SalespersonName],"Not found")</f>
        <v>José Saraiva</v>
      </c>
      <c r="M587" t="str">
        <f>IF(tblCategorySales[[#This Row],[SalespersonName]]=tblCategorySales[[#This Row],[ExpectedSalespersonName]],"Match","Mismatch")</f>
        <v>Match</v>
      </c>
    </row>
    <row r="588" spans="1:13" x14ac:dyDescent="0.3">
      <c r="A588">
        <v>282</v>
      </c>
      <c r="B588" t="s">
        <v>25</v>
      </c>
      <c r="C588" t="s">
        <v>22</v>
      </c>
      <c r="D588">
        <v>2014</v>
      </c>
      <c r="E588">
        <v>1</v>
      </c>
      <c r="F588">
        <v>3</v>
      </c>
      <c r="G588" t="s">
        <v>72</v>
      </c>
      <c r="H588">
        <v>21</v>
      </c>
      <c r="I588">
        <v>594</v>
      </c>
      <c r="J588">
        <v>16840.611767999999</v>
      </c>
      <c r="K588" t="s">
        <v>74</v>
      </c>
      <c r="L588" t="str">
        <f>_xlfn.XLOOKUP(tblCategorySales[[#This Row],[SalesPersonID]],tblSalespersonSummary[SalesPersonID],tblSalespersonSummary[SalespersonName],"Not found")</f>
        <v>José Saraiva</v>
      </c>
      <c r="M588" t="str">
        <f>IF(tblCategorySales[[#This Row],[SalespersonName]]=tblCategorySales[[#This Row],[ExpectedSalespersonName]],"Match","Mismatch")</f>
        <v>Match</v>
      </c>
    </row>
    <row r="589" spans="1:13" x14ac:dyDescent="0.3">
      <c r="A589">
        <v>282</v>
      </c>
      <c r="B589" t="s">
        <v>25</v>
      </c>
      <c r="C589" t="s">
        <v>22</v>
      </c>
      <c r="D589">
        <v>2014</v>
      </c>
      <c r="E589">
        <v>1</v>
      </c>
      <c r="F589">
        <v>2</v>
      </c>
      <c r="G589" t="s">
        <v>73</v>
      </c>
      <c r="H589">
        <v>19</v>
      </c>
      <c r="I589">
        <v>345</v>
      </c>
      <c r="J589">
        <v>79776.923999999999</v>
      </c>
      <c r="K589" t="s">
        <v>74</v>
      </c>
      <c r="L589" t="str">
        <f>_xlfn.XLOOKUP(tblCategorySales[[#This Row],[SalesPersonID]],tblSalespersonSummary[SalesPersonID],tblSalespersonSummary[SalespersonName],"Not found")</f>
        <v>José Saraiva</v>
      </c>
      <c r="M589" t="str">
        <f>IF(tblCategorySales[[#This Row],[SalespersonName]]=tblCategorySales[[#This Row],[ExpectedSalespersonName]],"Match","Mismatch")</f>
        <v>Match</v>
      </c>
    </row>
    <row r="590" spans="1:13" x14ac:dyDescent="0.3">
      <c r="A590">
        <v>276</v>
      </c>
      <c r="B590" t="s">
        <v>26</v>
      </c>
      <c r="C590" t="s">
        <v>27</v>
      </c>
      <c r="D590">
        <v>2014</v>
      </c>
      <c r="E590">
        <v>1</v>
      </c>
      <c r="F590">
        <v>4</v>
      </c>
      <c r="G590" t="s">
        <v>70</v>
      </c>
      <c r="H590">
        <v>14</v>
      </c>
      <c r="I590">
        <v>370</v>
      </c>
      <c r="J590">
        <v>8730.6423119999999</v>
      </c>
      <c r="K590" t="s">
        <v>74</v>
      </c>
      <c r="L590" t="str">
        <f>_xlfn.XLOOKUP(tblCategorySales[[#This Row],[SalesPersonID]],tblSalespersonSummary[SalesPersonID],tblSalespersonSummary[SalespersonName],"Not found")</f>
        <v>Linda Mitchell</v>
      </c>
      <c r="M590" t="str">
        <f>IF(tblCategorySales[[#This Row],[SalespersonName]]=tblCategorySales[[#This Row],[ExpectedSalespersonName]],"Match","Mismatch")</f>
        <v>Match</v>
      </c>
    </row>
    <row r="591" spans="1:13" x14ac:dyDescent="0.3">
      <c r="A591">
        <v>276</v>
      </c>
      <c r="B591" t="s">
        <v>26</v>
      </c>
      <c r="C591" t="s">
        <v>27</v>
      </c>
      <c r="D591">
        <v>2014</v>
      </c>
      <c r="E591">
        <v>1</v>
      </c>
      <c r="F591">
        <v>1</v>
      </c>
      <c r="G591" t="s">
        <v>71</v>
      </c>
      <c r="H591">
        <v>36</v>
      </c>
      <c r="I591">
        <v>998</v>
      </c>
      <c r="J591">
        <v>843404.17147199996</v>
      </c>
      <c r="K591" t="s">
        <v>74</v>
      </c>
      <c r="L591" t="str">
        <f>_xlfn.XLOOKUP(tblCategorySales[[#This Row],[SalesPersonID]],tblSalespersonSummary[SalesPersonID],tblSalespersonSummary[SalespersonName],"Not found")</f>
        <v>Linda Mitchell</v>
      </c>
      <c r="M591" t="str">
        <f>IF(tblCategorySales[[#This Row],[SalespersonName]]=tblCategorySales[[#This Row],[ExpectedSalespersonName]],"Match","Mismatch")</f>
        <v>Match</v>
      </c>
    </row>
    <row r="592" spans="1:13" x14ac:dyDescent="0.3">
      <c r="A592">
        <v>276</v>
      </c>
      <c r="B592" t="s">
        <v>26</v>
      </c>
      <c r="C592" t="s">
        <v>27</v>
      </c>
      <c r="D592">
        <v>2014</v>
      </c>
      <c r="E592">
        <v>1</v>
      </c>
      <c r="F592">
        <v>3</v>
      </c>
      <c r="G592" t="s">
        <v>72</v>
      </c>
      <c r="H592">
        <v>27</v>
      </c>
      <c r="I592">
        <v>810</v>
      </c>
      <c r="J592">
        <v>21370.252195000001</v>
      </c>
      <c r="K592" t="s">
        <v>74</v>
      </c>
      <c r="L592" t="str">
        <f>_xlfn.XLOOKUP(tblCategorySales[[#This Row],[SalesPersonID]],tblSalespersonSummary[SalesPersonID],tblSalespersonSummary[SalespersonName],"Not found")</f>
        <v>Linda Mitchell</v>
      </c>
      <c r="M592" t="str">
        <f>IF(tblCategorySales[[#This Row],[SalespersonName]]=tblCategorySales[[#This Row],[ExpectedSalespersonName]],"Match","Mismatch")</f>
        <v>Match</v>
      </c>
    </row>
    <row r="593" spans="1:13" x14ac:dyDescent="0.3">
      <c r="A593">
        <v>276</v>
      </c>
      <c r="B593" t="s">
        <v>26</v>
      </c>
      <c r="C593" t="s">
        <v>27</v>
      </c>
      <c r="D593">
        <v>2014</v>
      </c>
      <c r="E593">
        <v>1</v>
      </c>
      <c r="F593">
        <v>2</v>
      </c>
      <c r="G593" t="s">
        <v>73</v>
      </c>
      <c r="H593">
        <v>29</v>
      </c>
      <c r="I593">
        <v>618</v>
      </c>
      <c r="J593">
        <v>114872.41108799999</v>
      </c>
      <c r="K593" t="s">
        <v>74</v>
      </c>
      <c r="L593" t="str">
        <f>_xlfn.XLOOKUP(tblCategorySales[[#This Row],[SalesPersonID]],tblSalespersonSummary[SalesPersonID],tblSalespersonSummary[SalespersonName],"Not found")</f>
        <v>Linda Mitchell</v>
      </c>
      <c r="M593" t="str">
        <f>IF(tblCategorySales[[#This Row],[SalespersonName]]=tblCategorySales[[#This Row],[ExpectedSalespersonName]],"Match","Mismatch")</f>
        <v>Match</v>
      </c>
    </row>
    <row r="594" spans="1:13" x14ac:dyDescent="0.3">
      <c r="A594">
        <v>286</v>
      </c>
      <c r="B594" t="s">
        <v>54</v>
      </c>
      <c r="C594" t="s">
        <v>55</v>
      </c>
      <c r="D594">
        <v>2014</v>
      </c>
      <c r="E594">
        <v>1</v>
      </c>
      <c r="F594">
        <v>4</v>
      </c>
      <c r="G594" t="s">
        <v>70</v>
      </c>
      <c r="H594">
        <v>7</v>
      </c>
      <c r="I594">
        <v>82</v>
      </c>
      <c r="J594">
        <v>2631.5459999999998</v>
      </c>
      <c r="K594" t="s">
        <v>74</v>
      </c>
      <c r="L594" t="str">
        <f>_xlfn.XLOOKUP(tblCategorySales[[#This Row],[SalesPersonID]],tblSalespersonSummary[SalesPersonID],tblSalespersonSummary[SalespersonName],"Not found")</f>
        <v>Lynn Tsoflias</v>
      </c>
      <c r="M594" t="str">
        <f>IF(tblCategorySales[[#This Row],[SalespersonName]]=tblCategorySales[[#This Row],[ExpectedSalespersonName]],"Match","Mismatch")</f>
        <v>Match</v>
      </c>
    </row>
    <row r="595" spans="1:13" x14ac:dyDescent="0.3">
      <c r="A595">
        <v>286</v>
      </c>
      <c r="B595" t="s">
        <v>54</v>
      </c>
      <c r="C595" t="s">
        <v>55</v>
      </c>
      <c r="D595">
        <v>2014</v>
      </c>
      <c r="E595">
        <v>1</v>
      </c>
      <c r="F595">
        <v>1</v>
      </c>
      <c r="G595" t="s">
        <v>71</v>
      </c>
      <c r="H595">
        <v>23</v>
      </c>
      <c r="I595">
        <v>347</v>
      </c>
      <c r="J595">
        <v>320289.10200000001</v>
      </c>
      <c r="K595" t="s">
        <v>74</v>
      </c>
      <c r="L595" t="str">
        <f>_xlfn.XLOOKUP(tblCategorySales[[#This Row],[SalesPersonID]],tblSalespersonSummary[SalesPersonID],tblSalespersonSummary[SalespersonName],"Not found")</f>
        <v>Lynn Tsoflias</v>
      </c>
      <c r="M595" t="str">
        <f>IF(tblCategorySales[[#This Row],[SalespersonName]]=tblCategorySales[[#This Row],[ExpectedSalespersonName]],"Match","Mismatch")</f>
        <v>Match</v>
      </c>
    </row>
    <row r="596" spans="1:13" x14ac:dyDescent="0.3">
      <c r="A596">
        <v>286</v>
      </c>
      <c r="B596" t="s">
        <v>54</v>
      </c>
      <c r="C596" t="s">
        <v>55</v>
      </c>
      <c r="D596">
        <v>2014</v>
      </c>
      <c r="E596">
        <v>1</v>
      </c>
      <c r="F596">
        <v>3</v>
      </c>
      <c r="G596" t="s">
        <v>72</v>
      </c>
      <c r="H596">
        <v>14</v>
      </c>
      <c r="I596">
        <v>185</v>
      </c>
      <c r="J596">
        <v>5181.3929760000001</v>
      </c>
      <c r="K596" t="s">
        <v>74</v>
      </c>
      <c r="L596" t="str">
        <f>_xlfn.XLOOKUP(tblCategorySales[[#This Row],[SalesPersonID]],tblSalespersonSummary[SalesPersonID],tblSalespersonSummary[SalespersonName],"Not found")</f>
        <v>Lynn Tsoflias</v>
      </c>
      <c r="M596" t="str">
        <f>IF(tblCategorySales[[#This Row],[SalespersonName]]=tblCategorySales[[#This Row],[ExpectedSalespersonName]],"Match","Mismatch")</f>
        <v>Match</v>
      </c>
    </row>
    <row r="597" spans="1:13" x14ac:dyDescent="0.3">
      <c r="A597">
        <v>286</v>
      </c>
      <c r="B597" t="s">
        <v>54</v>
      </c>
      <c r="C597" t="s">
        <v>55</v>
      </c>
      <c r="D597">
        <v>2014</v>
      </c>
      <c r="E597">
        <v>1</v>
      </c>
      <c r="F597">
        <v>2</v>
      </c>
      <c r="G597" t="s">
        <v>73</v>
      </c>
      <c r="H597">
        <v>19</v>
      </c>
      <c r="I597">
        <v>151</v>
      </c>
      <c r="J597">
        <v>30308.777999999998</v>
      </c>
      <c r="K597" t="s">
        <v>74</v>
      </c>
      <c r="L597" t="str">
        <f>_xlfn.XLOOKUP(tblCategorySales[[#This Row],[SalesPersonID]],tblSalespersonSummary[SalesPersonID],tblSalespersonSummary[SalespersonName],"Not found")</f>
        <v>Lynn Tsoflias</v>
      </c>
      <c r="M597" t="str">
        <f>IF(tblCategorySales[[#This Row],[SalespersonName]]=tblCategorySales[[#This Row],[ExpectedSalespersonName]],"Match","Mismatch")</f>
        <v>Match</v>
      </c>
    </row>
    <row r="598" spans="1:13" x14ac:dyDescent="0.3">
      <c r="A598">
        <v>275</v>
      </c>
      <c r="B598" t="s">
        <v>28</v>
      </c>
      <c r="C598" t="s">
        <v>29</v>
      </c>
      <c r="D598">
        <v>2014</v>
      </c>
      <c r="E598">
        <v>1</v>
      </c>
      <c r="F598">
        <v>4</v>
      </c>
      <c r="G598" t="s">
        <v>70</v>
      </c>
      <c r="H598">
        <v>10</v>
      </c>
      <c r="I598">
        <v>120</v>
      </c>
      <c r="J598">
        <v>3492.3119999999999</v>
      </c>
      <c r="K598" t="s">
        <v>74</v>
      </c>
      <c r="L598" t="str">
        <f>_xlfn.XLOOKUP(tblCategorySales[[#This Row],[SalesPersonID]],tblSalespersonSummary[SalesPersonID],tblSalespersonSummary[SalespersonName],"Not found")</f>
        <v>Michael Blythe</v>
      </c>
      <c r="M598" t="str">
        <f>IF(tblCategorySales[[#This Row],[SalespersonName]]=tblCategorySales[[#This Row],[ExpectedSalespersonName]],"Match","Mismatch")</f>
        <v>Match</v>
      </c>
    </row>
    <row r="599" spans="1:13" x14ac:dyDescent="0.3">
      <c r="A599">
        <v>275</v>
      </c>
      <c r="B599" t="s">
        <v>28</v>
      </c>
      <c r="C599" t="s">
        <v>29</v>
      </c>
      <c r="D599">
        <v>2014</v>
      </c>
      <c r="E599">
        <v>1</v>
      </c>
      <c r="F599">
        <v>1</v>
      </c>
      <c r="G599" t="s">
        <v>71</v>
      </c>
      <c r="H599">
        <v>34</v>
      </c>
      <c r="I599">
        <v>629</v>
      </c>
      <c r="J599">
        <v>563616.61800000002</v>
      </c>
      <c r="K599" t="s">
        <v>74</v>
      </c>
      <c r="L599" t="str">
        <f>_xlfn.XLOOKUP(tblCategorySales[[#This Row],[SalesPersonID]],tblSalespersonSummary[SalesPersonID],tblSalespersonSummary[SalespersonName],"Not found")</f>
        <v>Michael Blythe</v>
      </c>
      <c r="M599" t="str">
        <f>IF(tblCategorySales[[#This Row],[SalespersonName]]=tblCategorySales[[#This Row],[ExpectedSalespersonName]],"Match","Mismatch")</f>
        <v>Match</v>
      </c>
    </row>
    <row r="600" spans="1:13" x14ac:dyDescent="0.3">
      <c r="A600">
        <v>275</v>
      </c>
      <c r="B600" t="s">
        <v>28</v>
      </c>
      <c r="C600" t="s">
        <v>29</v>
      </c>
      <c r="D600">
        <v>2014</v>
      </c>
      <c r="E600">
        <v>1</v>
      </c>
      <c r="F600">
        <v>3</v>
      </c>
      <c r="G600" t="s">
        <v>72</v>
      </c>
      <c r="H600">
        <v>28</v>
      </c>
      <c r="I600">
        <v>448</v>
      </c>
      <c r="J600">
        <v>10899.138213</v>
      </c>
      <c r="K600" t="s">
        <v>74</v>
      </c>
      <c r="L600" t="str">
        <f>_xlfn.XLOOKUP(tblCategorySales[[#This Row],[SalesPersonID]],tblSalespersonSummary[SalesPersonID],tblSalespersonSummary[SalespersonName],"Not found")</f>
        <v>Michael Blythe</v>
      </c>
      <c r="M600" t="str">
        <f>IF(tblCategorySales[[#This Row],[SalespersonName]]=tblCategorySales[[#This Row],[ExpectedSalespersonName]],"Match","Mismatch")</f>
        <v>Match</v>
      </c>
    </row>
    <row r="601" spans="1:13" x14ac:dyDescent="0.3">
      <c r="A601">
        <v>275</v>
      </c>
      <c r="B601" t="s">
        <v>28</v>
      </c>
      <c r="C601" t="s">
        <v>29</v>
      </c>
      <c r="D601">
        <v>2014</v>
      </c>
      <c r="E601">
        <v>1</v>
      </c>
      <c r="F601">
        <v>2</v>
      </c>
      <c r="G601" t="s">
        <v>73</v>
      </c>
      <c r="H601">
        <v>28</v>
      </c>
      <c r="I601">
        <v>550</v>
      </c>
      <c r="J601">
        <v>109232.32799999999</v>
      </c>
      <c r="K601" t="s">
        <v>74</v>
      </c>
      <c r="L601" t="str">
        <f>_xlfn.XLOOKUP(tblCategorySales[[#This Row],[SalesPersonID]],tblSalespersonSummary[SalesPersonID],tblSalespersonSummary[SalespersonName],"Not found")</f>
        <v>Michael Blythe</v>
      </c>
      <c r="M601" t="str">
        <f>IF(tblCategorySales[[#This Row],[SalespersonName]]=tblCategorySales[[#This Row],[ExpectedSalespersonName]],"Match","Mismatch")</f>
        <v>Match</v>
      </c>
    </row>
    <row r="602" spans="1:13" x14ac:dyDescent="0.3">
      <c r="A602">
        <v>280</v>
      </c>
      <c r="B602" t="s">
        <v>30</v>
      </c>
      <c r="C602" t="s">
        <v>16</v>
      </c>
      <c r="D602">
        <v>2014</v>
      </c>
      <c r="E602">
        <v>1</v>
      </c>
      <c r="F602">
        <v>4</v>
      </c>
      <c r="G602" t="s">
        <v>70</v>
      </c>
      <c r="H602">
        <v>2</v>
      </c>
      <c r="I602">
        <v>75</v>
      </c>
      <c r="J602">
        <v>1709.5749800000001</v>
      </c>
      <c r="K602" t="s">
        <v>74</v>
      </c>
      <c r="L602" t="str">
        <f>_xlfn.XLOOKUP(tblCategorySales[[#This Row],[SalesPersonID]],tblSalespersonSummary[SalesPersonID],tblSalespersonSummary[SalespersonName],"Not found")</f>
        <v>Pamela Ansman-Wolfe</v>
      </c>
      <c r="M602" t="str">
        <f>IF(tblCategorySales[[#This Row],[SalespersonName]]=tblCategorySales[[#This Row],[ExpectedSalespersonName]],"Match","Mismatch")</f>
        <v>Match</v>
      </c>
    </row>
    <row r="603" spans="1:13" x14ac:dyDescent="0.3">
      <c r="A603">
        <v>280</v>
      </c>
      <c r="B603" t="s">
        <v>30</v>
      </c>
      <c r="C603" t="s">
        <v>16</v>
      </c>
      <c r="D603">
        <v>2014</v>
      </c>
      <c r="E603">
        <v>1</v>
      </c>
      <c r="F603">
        <v>1</v>
      </c>
      <c r="G603" t="s">
        <v>71</v>
      </c>
      <c r="H603">
        <v>6</v>
      </c>
      <c r="I603">
        <v>317</v>
      </c>
      <c r="J603">
        <v>310074.28366800002</v>
      </c>
      <c r="K603" t="s">
        <v>74</v>
      </c>
      <c r="L603" t="str">
        <f>_xlfn.XLOOKUP(tblCategorySales[[#This Row],[SalesPersonID]],tblSalespersonSummary[SalesPersonID],tblSalespersonSummary[SalespersonName],"Not found")</f>
        <v>Pamela Ansman-Wolfe</v>
      </c>
      <c r="M603" t="str">
        <f>IF(tblCategorySales[[#This Row],[SalespersonName]]=tblCategorySales[[#This Row],[ExpectedSalespersonName]],"Match","Mismatch")</f>
        <v>Match</v>
      </c>
    </row>
    <row r="604" spans="1:13" x14ac:dyDescent="0.3">
      <c r="A604">
        <v>280</v>
      </c>
      <c r="B604" t="s">
        <v>30</v>
      </c>
      <c r="C604" t="s">
        <v>16</v>
      </c>
      <c r="D604">
        <v>2014</v>
      </c>
      <c r="E604">
        <v>1</v>
      </c>
      <c r="F604">
        <v>3</v>
      </c>
      <c r="G604" t="s">
        <v>72</v>
      </c>
      <c r="H604">
        <v>5</v>
      </c>
      <c r="I604">
        <v>184</v>
      </c>
      <c r="J604">
        <v>5774.2320840000002</v>
      </c>
      <c r="K604" t="s">
        <v>74</v>
      </c>
      <c r="L604" t="str">
        <f>_xlfn.XLOOKUP(tblCategorySales[[#This Row],[SalesPersonID]],tblSalespersonSummary[SalesPersonID],tblSalespersonSummary[SalespersonName],"Not found")</f>
        <v>Pamela Ansman-Wolfe</v>
      </c>
      <c r="M604" t="str">
        <f>IF(tblCategorySales[[#This Row],[SalespersonName]]=tblCategorySales[[#This Row],[ExpectedSalespersonName]],"Match","Mismatch")</f>
        <v>Match</v>
      </c>
    </row>
    <row r="605" spans="1:13" x14ac:dyDescent="0.3">
      <c r="A605">
        <v>280</v>
      </c>
      <c r="B605" t="s">
        <v>30</v>
      </c>
      <c r="C605" t="s">
        <v>16</v>
      </c>
      <c r="D605">
        <v>2014</v>
      </c>
      <c r="E605">
        <v>1</v>
      </c>
      <c r="F605">
        <v>2</v>
      </c>
      <c r="G605" t="s">
        <v>73</v>
      </c>
      <c r="H605">
        <v>6</v>
      </c>
      <c r="I605">
        <v>174</v>
      </c>
      <c r="J605">
        <v>36260.076000000001</v>
      </c>
      <c r="K605" t="s">
        <v>74</v>
      </c>
      <c r="L605" t="str">
        <f>_xlfn.XLOOKUP(tblCategorySales[[#This Row],[SalesPersonID]],tblSalespersonSummary[SalesPersonID],tblSalespersonSummary[SalespersonName],"Not found")</f>
        <v>Pamela Ansman-Wolfe</v>
      </c>
      <c r="M605" t="str">
        <f>IF(tblCategorySales[[#This Row],[SalespersonName]]=tblCategorySales[[#This Row],[ExpectedSalespersonName]],"Match","Mismatch")</f>
        <v>Match</v>
      </c>
    </row>
    <row r="606" spans="1:13" x14ac:dyDescent="0.3">
      <c r="A606">
        <v>288</v>
      </c>
      <c r="B606" t="s">
        <v>56</v>
      </c>
      <c r="C606" t="s">
        <v>57</v>
      </c>
      <c r="D606">
        <v>2014</v>
      </c>
      <c r="E606">
        <v>1</v>
      </c>
      <c r="F606">
        <v>4</v>
      </c>
      <c r="G606" t="s">
        <v>70</v>
      </c>
      <c r="H606">
        <v>10</v>
      </c>
      <c r="I606">
        <v>343</v>
      </c>
      <c r="J606">
        <v>8063.4926560000004</v>
      </c>
      <c r="K606" t="s">
        <v>74</v>
      </c>
      <c r="L606" t="str">
        <f>_xlfn.XLOOKUP(tblCategorySales[[#This Row],[SalesPersonID]],tblSalespersonSummary[SalesPersonID],tblSalespersonSummary[SalespersonName],"Not found")</f>
        <v>Rachel Valdez</v>
      </c>
      <c r="M606" t="str">
        <f>IF(tblCategorySales[[#This Row],[SalespersonName]]=tblCategorySales[[#This Row],[ExpectedSalespersonName]],"Match","Mismatch")</f>
        <v>Match</v>
      </c>
    </row>
    <row r="607" spans="1:13" x14ac:dyDescent="0.3">
      <c r="A607">
        <v>288</v>
      </c>
      <c r="B607" t="s">
        <v>56</v>
      </c>
      <c r="C607" t="s">
        <v>57</v>
      </c>
      <c r="D607">
        <v>2014</v>
      </c>
      <c r="E607">
        <v>1</v>
      </c>
      <c r="F607">
        <v>1</v>
      </c>
      <c r="G607" t="s">
        <v>71</v>
      </c>
      <c r="H607">
        <v>22</v>
      </c>
      <c r="I607">
        <v>423</v>
      </c>
      <c r="J607">
        <v>365253.54220800003</v>
      </c>
      <c r="K607" t="s">
        <v>74</v>
      </c>
      <c r="L607" t="str">
        <f>_xlfn.XLOOKUP(tblCategorySales[[#This Row],[SalesPersonID]],tblSalespersonSummary[SalesPersonID],tblSalespersonSummary[SalespersonName],"Not found")</f>
        <v>Rachel Valdez</v>
      </c>
      <c r="M607" t="str">
        <f>IF(tblCategorySales[[#This Row],[SalespersonName]]=tblCategorySales[[#This Row],[ExpectedSalespersonName]],"Match","Mismatch")</f>
        <v>Match</v>
      </c>
    </row>
    <row r="608" spans="1:13" x14ac:dyDescent="0.3">
      <c r="A608">
        <v>288</v>
      </c>
      <c r="B608" t="s">
        <v>56</v>
      </c>
      <c r="C608" t="s">
        <v>57</v>
      </c>
      <c r="D608">
        <v>2014</v>
      </c>
      <c r="E608">
        <v>1</v>
      </c>
      <c r="F608">
        <v>3</v>
      </c>
      <c r="G608" t="s">
        <v>72</v>
      </c>
      <c r="H608">
        <v>19</v>
      </c>
      <c r="I608">
        <v>571</v>
      </c>
      <c r="J608">
        <v>15445.292717</v>
      </c>
      <c r="K608" t="s">
        <v>74</v>
      </c>
      <c r="L608" t="str">
        <f>_xlfn.XLOOKUP(tblCategorySales[[#This Row],[SalesPersonID]],tblSalespersonSummary[SalesPersonID],tblSalespersonSummary[SalespersonName],"Not found")</f>
        <v>Rachel Valdez</v>
      </c>
      <c r="M608" t="str">
        <f>IF(tblCategorySales[[#This Row],[SalespersonName]]=tblCategorySales[[#This Row],[ExpectedSalespersonName]],"Match","Mismatch")</f>
        <v>Match</v>
      </c>
    </row>
    <row r="609" spans="1:13" x14ac:dyDescent="0.3">
      <c r="A609">
        <v>288</v>
      </c>
      <c r="B609" t="s">
        <v>56</v>
      </c>
      <c r="C609" t="s">
        <v>57</v>
      </c>
      <c r="D609">
        <v>2014</v>
      </c>
      <c r="E609">
        <v>1</v>
      </c>
      <c r="F609">
        <v>2</v>
      </c>
      <c r="G609" t="s">
        <v>73</v>
      </c>
      <c r="H609">
        <v>20</v>
      </c>
      <c r="I609">
        <v>216</v>
      </c>
      <c r="J609">
        <v>55859.357600000003</v>
      </c>
      <c r="K609" t="s">
        <v>74</v>
      </c>
      <c r="L609" t="str">
        <f>_xlfn.XLOOKUP(tblCategorySales[[#This Row],[SalesPersonID]],tblSalespersonSummary[SalesPersonID],tblSalespersonSummary[SalespersonName],"Not found")</f>
        <v>Rachel Valdez</v>
      </c>
      <c r="M609" t="str">
        <f>IF(tblCategorySales[[#This Row],[SalespersonName]]=tblCategorySales[[#This Row],[ExpectedSalespersonName]],"Match","Mismatch")</f>
        <v>Match</v>
      </c>
    </row>
    <row r="610" spans="1:13" x14ac:dyDescent="0.3">
      <c r="A610">
        <v>290</v>
      </c>
      <c r="B610" t="s">
        <v>46</v>
      </c>
      <c r="C610" t="s">
        <v>47</v>
      </c>
      <c r="D610">
        <v>2014</v>
      </c>
      <c r="E610">
        <v>1</v>
      </c>
      <c r="F610">
        <v>4</v>
      </c>
      <c r="G610" t="s">
        <v>70</v>
      </c>
      <c r="H610">
        <v>12</v>
      </c>
      <c r="I610">
        <v>364</v>
      </c>
      <c r="J610">
        <v>9681.2189080000007</v>
      </c>
      <c r="K610" t="s">
        <v>74</v>
      </c>
      <c r="L610" t="str">
        <f>_xlfn.XLOOKUP(tblCategorySales[[#This Row],[SalesPersonID]],tblSalespersonSummary[SalesPersonID],tblSalespersonSummary[SalespersonName],"Not found")</f>
        <v>Ranjit Varkey Chudukatil</v>
      </c>
      <c r="M610" t="str">
        <f>IF(tblCategorySales[[#This Row],[SalespersonName]]=tblCategorySales[[#This Row],[ExpectedSalespersonName]],"Match","Mismatch")</f>
        <v>Match</v>
      </c>
    </row>
    <row r="611" spans="1:13" x14ac:dyDescent="0.3">
      <c r="A611">
        <v>290</v>
      </c>
      <c r="B611" t="s">
        <v>46</v>
      </c>
      <c r="C611" t="s">
        <v>47</v>
      </c>
      <c r="D611">
        <v>2014</v>
      </c>
      <c r="E611">
        <v>1</v>
      </c>
      <c r="F611">
        <v>1</v>
      </c>
      <c r="G611" t="s">
        <v>71</v>
      </c>
      <c r="H611">
        <v>26</v>
      </c>
      <c r="I611">
        <v>682</v>
      </c>
      <c r="J611">
        <v>590539.98864400003</v>
      </c>
      <c r="K611" t="s">
        <v>74</v>
      </c>
      <c r="L611" t="str">
        <f>_xlfn.XLOOKUP(tblCategorySales[[#This Row],[SalesPersonID]],tblSalespersonSummary[SalesPersonID],tblSalespersonSummary[SalespersonName],"Not found")</f>
        <v>Ranjit Varkey Chudukatil</v>
      </c>
      <c r="M611" t="str">
        <f>IF(tblCategorySales[[#This Row],[SalespersonName]]=tblCategorySales[[#This Row],[ExpectedSalespersonName]],"Match","Mismatch")</f>
        <v>Match</v>
      </c>
    </row>
    <row r="612" spans="1:13" x14ac:dyDescent="0.3">
      <c r="A612">
        <v>290</v>
      </c>
      <c r="B612" t="s">
        <v>46</v>
      </c>
      <c r="C612" t="s">
        <v>47</v>
      </c>
      <c r="D612">
        <v>2014</v>
      </c>
      <c r="E612">
        <v>1</v>
      </c>
      <c r="F612">
        <v>3</v>
      </c>
      <c r="G612" t="s">
        <v>72</v>
      </c>
      <c r="H612">
        <v>17</v>
      </c>
      <c r="I612">
        <v>640</v>
      </c>
      <c r="J612">
        <v>18720.745126000002</v>
      </c>
      <c r="K612" t="s">
        <v>74</v>
      </c>
      <c r="L612" t="str">
        <f>_xlfn.XLOOKUP(tblCategorySales[[#This Row],[SalesPersonID]],tblSalespersonSummary[SalesPersonID],tblSalespersonSummary[SalespersonName],"Not found")</f>
        <v>Ranjit Varkey Chudukatil</v>
      </c>
      <c r="M612" t="str">
        <f>IF(tblCategorySales[[#This Row],[SalespersonName]]=tblCategorySales[[#This Row],[ExpectedSalespersonName]],"Match","Mismatch")</f>
        <v>Match</v>
      </c>
    </row>
    <row r="613" spans="1:13" x14ac:dyDescent="0.3">
      <c r="A613">
        <v>290</v>
      </c>
      <c r="B613" t="s">
        <v>46</v>
      </c>
      <c r="C613" t="s">
        <v>47</v>
      </c>
      <c r="D613">
        <v>2014</v>
      </c>
      <c r="E613">
        <v>1</v>
      </c>
      <c r="F613">
        <v>2</v>
      </c>
      <c r="G613" t="s">
        <v>73</v>
      </c>
      <c r="H613">
        <v>21</v>
      </c>
      <c r="I613">
        <v>555</v>
      </c>
      <c r="J613">
        <v>129340.36199999999</v>
      </c>
      <c r="K613" t="s">
        <v>74</v>
      </c>
      <c r="L613" t="str">
        <f>_xlfn.XLOOKUP(tblCategorySales[[#This Row],[SalesPersonID]],tblSalespersonSummary[SalesPersonID],tblSalespersonSummary[SalespersonName],"Not found")</f>
        <v>Ranjit Varkey Chudukatil</v>
      </c>
      <c r="M613" t="str">
        <f>IF(tblCategorySales[[#This Row],[SalespersonName]]=tblCategorySales[[#This Row],[ExpectedSalespersonName]],"Match","Mismatch")</f>
        <v>Match</v>
      </c>
    </row>
    <row r="614" spans="1:13" x14ac:dyDescent="0.3">
      <c r="A614">
        <v>281</v>
      </c>
      <c r="B614" t="s">
        <v>31</v>
      </c>
      <c r="C614" t="s">
        <v>27</v>
      </c>
      <c r="D614">
        <v>2014</v>
      </c>
      <c r="E614">
        <v>1</v>
      </c>
      <c r="F614">
        <v>4</v>
      </c>
      <c r="G614" t="s">
        <v>70</v>
      </c>
      <c r="H614">
        <v>11</v>
      </c>
      <c r="I614">
        <v>248</v>
      </c>
      <c r="J614">
        <v>6362.904837</v>
      </c>
      <c r="K614" t="s">
        <v>74</v>
      </c>
      <c r="L614" t="str">
        <f>_xlfn.XLOOKUP(tblCategorySales[[#This Row],[SalesPersonID]],tblSalespersonSummary[SalesPersonID],tblSalespersonSummary[SalespersonName],"Not found")</f>
        <v>Shu Ito</v>
      </c>
      <c r="M614" t="str">
        <f>IF(tblCategorySales[[#This Row],[SalespersonName]]=tblCategorySales[[#This Row],[ExpectedSalespersonName]],"Match","Mismatch")</f>
        <v>Match</v>
      </c>
    </row>
    <row r="615" spans="1:13" x14ac:dyDescent="0.3">
      <c r="A615">
        <v>281</v>
      </c>
      <c r="B615" t="s">
        <v>31</v>
      </c>
      <c r="C615" t="s">
        <v>27</v>
      </c>
      <c r="D615">
        <v>2014</v>
      </c>
      <c r="E615">
        <v>1</v>
      </c>
      <c r="F615">
        <v>1</v>
      </c>
      <c r="G615" t="s">
        <v>71</v>
      </c>
      <c r="H615">
        <v>22</v>
      </c>
      <c r="I615">
        <v>596</v>
      </c>
      <c r="J615">
        <v>478518.08614500001</v>
      </c>
      <c r="K615" t="s">
        <v>74</v>
      </c>
      <c r="L615" t="str">
        <f>_xlfn.XLOOKUP(tblCategorySales[[#This Row],[SalesPersonID]],tblSalespersonSummary[SalesPersonID],tblSalespersonSummary[SalespersonName],"Not found")</f>
        <v>Shu Ito</v>
      </c>
      <c r="M615" t="str">
        <f>IF(tblCategorySales[[#This Row],[SalespersonName]]=tblCategorySales[[#This Row],[ExpectedSalespersonName]],"Match","Mismatch")</f>
        <v>Match</v>
      </c>
    </row>
    <row r="616" spans="1:13" x14ac:dyDescent="0.3">
      <c r="A616">
        <v>281</v>
      </c>
      <c r="B616" t="s">
        <v>31</v>
      </c>
      <c r="C616" t="s">
        <v>27</v>
      </c>
      <c r="D616">
        <v>2014</v>
      </c>
      <c r="E616">
        <v>1</v>
      </c>
      <c r="F616">
        <v>3</v>
      </c>
      <c r="G616" t="s">
        <v>72</v>
      </c>
      <c r="H616">
        <v>18</v>
      </c>
      <c r="I616">
        <v>520</v>
      </c>
      <c r="J616">
        <v>13633.327841</v>
      </c>
      <c r="K616" t="s">
        <v>74</v>
      </c>
      <c r="L616" t="str">
        <f>_xlfn.XLOOKUP(tblCategorySales[[#This Row],[SalesPersonID]],tblSalespersonSummary[SalesPersonID],tblSalespersonSummary[SalespersonName],"Not found")</f>
        <v>Shu Ito</v>
      </c>
      <c r="M616" t="str">
        <f>IF(tblCategorySales[[#This Row],[SalespersonName]]=tblCategorySales[[#This Row],[ExpectedSalespersonName]],"Match","Mismatch")</f>
        <v>Match</v>
      </c>
    </row>
    <row r="617" spans="1:13" x14ac:dyDescent="0.3">
      <c r="A617">
        <v>281</v>
      </c>
      <c r="B617" t="s">
        <v>31</v>
      </c>
      <c r="C617" t="s">
        <v>27</v>
      </c>
      <c r="D617">
        <v>2014</v>
      </c>
      <c r="E617">
        <v>1</v>
      </c>
      <c r="F617">
        <v>2</v>
      </c>
      <c r="G617" t="s">
        <v>73</v>
      </c>
      <c r="H617">
        <v>19</v>
      </c>
      <c r="I617">
        <v>232</v>
      </c>
      <c r="J617">
        <v>59302.158000000003</v>
      </c>
      <c r="K617" t="s">
        <v>74</v>
      </c>
      <c r="L617" t="str">
        <f>_xlfn.XLOOKUP(tblCategorySales[[#This Row],[SalesPersonID]],tblSalespersonSummary[SalesPersonID],tblSalespersonSummary[SalespersonName],"Not found")</f>
        <v>Shu Ito</v>
      </c>
      <c r="M617" t="str">
        <f>IF(tblCategorySales[[#This Row],[SalespersonName]]=tblCategorySales[[#This Row],[ExpectedSalespersonName]],"Match","Mismatch")</f>
        <v>Match</v>
      </c>
    </row>
    <row r="618" spans="1:13" x14ac:dyDescent="0.3">
      <c r="A618">
        <v>274</v>
      </c>
      <c r="B618" t="s">
        <v>32</v>
      </c>
      <c r="C618" t="s">
        <v>33</v>
      </c>
      <c r="D618">
        <v>2014</v>
      </c>
      <c r="E618">
        <v>1</v>
      </c>
      <c r="F618">
        <v>4</v>
      </c>
      <c r="G618" t="s">
        <v>70</v>
      </c>
      <c r="H618">
        <v>4</v>
      </c>
      <c r="I618">
        <v>89</v>
      </c>
      <c r="J618">
        <v>2595.4380000000001</v>
      </c>
      <c r="K618" t="s">
        <v>74</v>
      </c>
      <c r="L618" t="str">
        <f>_xlfn.XLOOKUP(tblCategorySales[[#This Row],[SalesPersonID]],tblSalespersonSummary[SalesPersonID],tblSalespersonSummary[SalespersonName],"Not found")</f>
        <v>Stephen Jiang</v>
      </c>
      <c r="M618" t="str">
        <f>IF(tblCategorySales[[#This Row],[SalespersonName]]=tblCategorySales[[#This Row],[ExpectedSalespersonName]],"Match","Mismatch")</f>
        <v>Match</v>
      </c>
    </row>
    <row r="619" spans="1:13" x14ac:dyDescent="0.3">
      <c r="A619">
        <v>274</v>
      </c>
      <c r="B619" t="s">
        <v>32</v>
      </c>
      <c r="C619" t="s">
        <v>33</v>
      </c>
      <c r="D619">
        <v>2014</v>
      </c>
      <c r="E619">
        <v>1</v>
      </c>
      <c r="F619">
        <v>1</v>
      </c>
      <c r="G619" t="s">
        <v>71</v>
      </c>
      <c r="H619">
        <v>5</v>
      </c>
      <c r="I619">
        <v>137</v>
      </c>
      <c r="J619">
        <v>115341.94680000001</v>
      </c>
      <c r="K619" t="s">
        <v>74</v>
      </c>
      <c r="L619" t="str">
        <f>_xlfn.XLOOKUP(tblCategorySales[[#This Row],[SalesPersonID]],tblSalespersonSummary[SalesPersonID],tblSalespersonSummary[SalespersonName],"Not found")</f>
        <v>Stephen Jiang</v>
      </c>
      <c r="M619" t="str">
        <f>IF(tblCategorySales[[#This Row],[SalespersonName]]=tblCategorySales[[#This Row],[ExpectedSalespersonName]],"Match","Mismatch")</f>
        <v>Match</v>
      </c>
    </row>
    <row r="620" spans="1:13" x14ac:dyDescent="0.3">
      <c r="A620">
        <v>274</v>
      </c>
      <c r="B620" t="s">
        <v>32</v>
      </c>
      <c r="C620" t="s">
        <v>33</v>
      </c>
      <c r="D620">
        <v>2014</v>
      </c>
      <c r="E620">
        <v>1</v>
      </c>
      <c r="F620">
        <v>3</v>
      </c>
      <c r="G620" t="s">
        <v>72</v>
      </c>
      <c r="H620">
        <v>3</v>
      </c>
      <c r="I620">
        <v>171</v>
      </c>
      <c r="J620">
        <v>5150.4217079999999</v>
      </c>
      <c r="K620" t="s">
        <v>74</v>
      </c>
      <c r="L620" t="str">
        <f>_xlfn.XLOOKUP(tblCategorySales[[#This Row],[SalesPersonID]],tblSalespersonSummary[SalesPersonID],tblSalespersonSummary[SalespersonName],"Not found")</f>
        <v>Stephen Jiang</v>
      </c>
      <c r="M620" t="str">
        <f>IF(tblCategorySales[[#This Row],[SalespersonName]]=tblCategorySales[[#This Row],[ExpectedSalespersonName]],"Match","Mismatch")</f>
        <v>Match</v>
      </c>
    </row>
    <row r="621" spans="1:13" x14ac:dyDescent="0.3">
      <c r="A621">
        <v>274</v>
      </c>
      <c r="B621" t="s">
        <v>32</v>
      </c>
      <c r="C621" t="s">
        <v>33</v>
      </c>
      <c r="D621">
        <v>2014</v>
      </c>
      <c r="E621">
        <v>1</v>
      </c>
      <c r="F621">
        <v>2</v>
      </c>
      <c r="G621" t="s">
        <v>73</v>
      </c>
      <c r="H621">
        <v>5</v>
      </c>
      <c r="I621">
        <v>99</v>
      </c>
      <c r="J621">
        <v>17843.633999999998</v>
      </c>
      <c r="K621" t="s">
        <v>74</v>
      </c>
      <c r="L621" t="str">
        <f>_xlfn.XLOOKUP(tblCategorySales[[#This Row],[SalesPersonID]],tblSalespersonSummary[SalesPersonID],tblSalespersonSummary[SalespersonName],"Not found")</f>
        <v>Stephen Jiang</v>
      </c>
      <c r="M621" t="str">
        <f>IF(tblCategorySales[[#This Row],[SalespersonName]]=tblCategorySales[[#This Row],[ExpectedSalespersonName]],"Match","Mismatch")</f>
        <v>Match</v>
      </c>
    </row>
    <row r="622" spans="1:13" x14ac:dyDescent="0.3">
      <c r="A622">
        <v>285</v>
      </c>
      <c r="B622" t="s">
        <v>58</v>
      </c>
      <c r="C622" t="s">
        <v>33</v>
      </c>
      <c r="D622">
        <v>2014</v>
      </c>
      <c r="E622">
        <v>1</v>
      </c>
      <c r="F622">
        <v>4</v>
      </c>
      <c r="G622" t="s">
        <v>70</v>
      </c>
      <c r="H622">
        <v>2</v>
      </c>
      <c r="I622">
        <v>7</v>
      </c>
      <c r="J622">
        <v>434.99400000000003</v>
      </c>
      <c r="K622" t="s">
        <v>74</v>
      </c>
      <c r="L622" t="str">
        <f>_xlfn.XLOOKUP(tblCategorySales[[#This Row],[SalesPersonID]],tblSalespersonSummary[SalesPersonID],tblSalespersonSummary[SalespersonName],"Not found")</f>
        <v>Syed Abbas</v>
      </c>
      <c r="M622" t="str">
        <f>IF(tblCategorySales[[#This Row],[SalespersonName]]=tblCategorySales[[#This Row],[ExpectedSalespersonName]],"Match","Mismatch")</f>
        <v>Match</v>
      </c>
    </row>
    <row r="623" spans="1:13" x14ac:dyDescent="0.3">
      <c r="A623">
        <v>285</v>
      </c>
      <c r="B623" t="s">
        <v>58</v>
      </c>
      <c r="C623" t="s">
        <v>33</v>
      </c>
      <c r="D623">
        <v>2014</v>
      </c>
      <c r="E623">
        <v>1</v>
      </c>
      <c r="F623">
        <v>1</v>
      </c>
      <c r="G623" t="s">
        <v>71</v>
      </c>
      <c r="H623">
        <v>1</v>
      </c>
      <c r="I623">
        <v>14</v>
      </c>
      <c r="J623">
        <v>14966.495999999999</v>
      </c>
      <c r="K623" t="s">
        <v>74</v>
      </c>
      <c r="L623" t="str">
        <f>_xlfn.XLOOKUP(tblCategorySales[[#This Row],[SalesPersonID]],tblSalespersonSummary[SalesPersonID],tblSalespersonSummary[SalespersonName],"Not found")</f>
        <v>Syed Abbas</v>
      </c>
      <c r="M623" t="str">
        <f>IF(tblCategorySales[[#This Row],[SalespersonName]]=tblCategorySales[[#This Row],[ExpectedSalespersonName]],"Match","Mismatch")</f>
        <v>Match</v>
      </c>
    </row>
    <row r="624" spans="1:13" x14ac:dyDescent="0.3">
      <c r="A624">
        <v>285</v>
      </c>
      <c r="B624" t="s">
        <v>58</v>
      </c>
      <c r="C624" t="s">
        <v>33</v>
      </c>
      <c r="D624">
        <v>2014</v>
      </c>
      <c r="E624">
        <v>1</v>
      </c>
      <c r="F624">
        <v>3</v>
      </c>
      <c r="G624" t="s">
        <v>72</v>
      </c>
      <c r="H624">
        <v>2</v>
      </c>
      <c r="I624">
        <v>42</v>
      </c>
      <c r="J624">
        <v>1367.2439999999999</v>
      </c>
      <c r="K624" t="s">
        <v>74</v>
      </c>
      <c r="L624" t="str">
        <f>_xlfn.XLOOKUP(tblCategorySales[[#This Row],[SalesPersonID]],tblSalespersonSummary[SalesPersonID],tblSalespersonSummary[SalespersonName],"Not found")</f>
        <v>Syed Abbas</v>
      </c>
      <c r="M624" t="str">
        <f>IF(tblCategorySales[[#This Row],[SalespersonName]]=tblCategorySales[[#This Row],[ExpectedSalespersonName]],"Match","Mismatch")</f>
        <v>Match</v>
      </c>
    </row>
    <row r="625" spans="1:13" x14ac:dyDescent="0.3">
      <c r="A625">
        <v>285</v>
      </c>
      <c r="B625" t="s">
        <v>58</v>
      </c>
      <c r="C625" t="s">
        <v>33</v>
      </c>
      <c r="D625">
        <v>2014</v>
      </c>
      <c r="E625">
        <v>1</v>
      </c>
      <c r="F625">
        <v>2</v>
      </c>
      <c r="G625" t="s">
        <v>73</v>
      </c>
      <c r="H625">
        <v>1</v>
      </c>
      <c r="I625">
        <v>5</v>
      </c>
      <c r="J625">
        <v>301.488</v>
      </c>
      <c r="K625" t="s">
        <v>74</v>
      </c>
      <c r="L625" t="str">
        <f>_xlfn.XLOOKUP(tblCategorySales[[#This Row],[SalesPersonID]],tblSalespersonSummary[SalesPersonID],tblSalespersonSummary[SalespersonName],"Not found")</f>
        <v>Syed Abbas</v>
      </c>
      <c r="M625" t="str">
        <f>IF(tblCategorySales[[#This Row],[SalespersonName]]=tblCategorySales[[#This Row],[ExpectedSalespersonName]],"Match","Mismatch")</f>
        <v>Match</v>
      </c>
    </row>
    <row r="626" spans="1:13" x14ac:dyDescent="0.3">
      <c r="A626">
        <v>284</v>
      </c>
      <c r="B626" t="s">
        <v>50</v>
      </c>
      <c r="C626" t="s">
        <v>16</v>
      </c>
      <c r="D626">
        <v>2014</v>
      </c>
      <c r="E626">
        <v>1</v>
      </c>
      <c r="F626">
        <v>4</v>
      </c>
      <c r="G626" t="s">
        <v>70</v>
      </c>
      <c r="H626">
        <v>5</v>
      </c>
      <c r="I626">
        <v>73</v>
      </c>
      <c r="J626">
        <v>1703.934</v>
      </c>
      <c r="K626" t="s">
        <v>74</v>
      </c>
      <c r="L626" t="str">
        <f>_xlfn.XLOOKUP(tblCategorySales[[#This Row],[SalesPersonID]],tblSalespersonSummary[SalesPersonID],tblSalespersonSummary[SalespersonName],"Not found")</f>
        <v>Tete Mensa-Annan</v>
      </c>
      <c r="M626" t="str">
        <f>IF(tblCategorySales[[#This Row],[SalespersonName]]=tblCategorySales[[#This Row],[ExpectedSalespersonName]],"Match","Mismatch")</f>
        <v>Match</v>
      </c>
    </row>
    <row r="627" spans="1:13" x14ac:dyDescent="0.3">
      <c r="A627">
        <v>284</v>
      </c>
      <c r="B627" t="s">
        <v>50</v>
      </c>
      <c r="C627" t="s">
        <v>16</v>
      </c>
      <c r="D627">
        <v>2014</v>
      </c>
      <c r="E627">
        <v>1</v>
      </c>
      <c r="F627">
        <v>1</v>
      </c>
      <c r="G627" t="s">
        <v>71</v>
      </c>
      <c r="H627">
        <v>21</v>
      </c>
      <c r="I627">
        <v>467</v>
      </c>
      <c r="J627">
        <v>402793.95480000001</v>
      </c>
      <c r="K627" t="s">
        <v>74</v>
      </c>
      <c r="L627" t="str">
        <f>_xlfn.XLOOKUP(tblCategorySales[[#This Row],[SalesPersonID]],tblSalespersonSummary[SalesPersonID],tblSalespersonSummary[SalespersonName],"Not found")</f>
        <v>Tete Mensa-Annan</v>
      </c>
      <c r="M627" t="str">
        <f>IF(tblCategorySales[[#This Row],[SalespersonName]]=tblCategorySales[[#This Row],[ExpectedSalespersonName]],"Match","Mismatch")</f>
        <v>Match</v>
      </c>
    </row>
    <row r="628" spans="1:13" x14ac:dyDescent="0.3">
      <c r="A628">
        <v>284</v>
      </c>
      <c r="B628" t="s">
        <v>50</v>
      </c>
      <c r="C628" t="s">
        <v>16</v>
      </c>
      <c r="D628">
        <v>2014</v>
      </c>
      <c r="E628">
        <v>1</v>
      </c>
      <c r="F628">
        <v>3</v>
      </c>
      <c r="G628" t="s">
        <v>72</v>
      </c>
      <c r="H628">
        <v>14</v>
      </c>
      <c r="I628">
        <v>192</v>
      </c>
      <c r="J628">
        <v>4360.88645</v>
      </c>
      <c r="K628" t="s">
        <v>74</v>
      </c>
      <c r="L628" t="str">
        <f>_xlfn.XLOOKUP(tblCategorySales[[#This Row],[SalesPersonID]],tblSalespersonSummary[SalesPersonID],tblSalespersonSummary[SalespersonName],"Not found")</f>
        <v>Tete Mensa-Annan</v>
      </c>
      <c r="M628" t="str">
        <f>IF(tblCategorySales[[#This Row],[SalespersonName]]=tblCategorySales[[#This Row],[ExpectedSalespersonName]],"Match","Mismatch")</f>
        <v>Match</v>
      </c>
    </row>
    <row r="629" spans="1:13" x14ac:dyDescent="0.3">
      <c r="A629">
        <v>284</v>
      </c>
      <c r="B629" t="s">
        <v>50</v>
      </c>
      <c r="C629" t="s">
        <v>16</v>
      </c>
      <c r="D629">
        <v>2014</v>
      </c>
      <c r="E629">
        <v>1</v>
      </c>
      <c r="F629">
        <v>2</v>
      </c>
      <c r="G629" t="s">
        <v>73</v>
      </c>
      <c r="H629">
        <v>14</v>
      </c>
      <c r="I629">
        <v>185</v>
      </c>
      <c r="J629">
        <v>48755.4</v>
      </c>
      <c r="K629" t="s">
        <v>74</v>
      </c>
      <c r="L629" t="str">
        <f>_xlfn.XLOOKUP(tblCategorySales[[#This Row],[SalesPersonID]],tblSalespersonSummary[SalesPersonID],tblSalespersonSummary[SalespersonName],"Not found")</f>
        <v>Tete Mensa-Annan</v>
      </c>
      <c r="M629" t="str">
        <f>IF(tblCategorySales[[#This Row],[SalespersonName]]=tblCategorySales[[#This Row],[ExpectedSalespersonName]],"Match","Mismatch")</f>
        <v>Match</v>
      </c>
    </row>
    <row r="630" spans="1:13" x14ac:dyDescent="0.3">
      <c r="A630">
        <v>279</v>
      </c>
      <c r="B630" t="s">
        <v>34</v>
      </c>
      <c r="C630" t="s">
        <v>35</v>
      </c>
      <c r="D630">
        <v>2014</v>
      </c>
      <c r="E630">
        <v>1</v>
      </c>
      <c r="F630">
        <v>4</v>
      </c>
      <c r="G630" t="s">
        <v>70</v>
      </c>
      <c r="H630">
        <v>13</v>
      </c>
      <c r="I630">
        <v>191</v>
      </c>
      <c r="J630">
        <v>4320.4323720000002</v>
      </c>
      <c r="K630" t="s">
        <v>74</v>
      </c>
      <c r="L630" t="str">
        <f>_xlfn.XLOOKUP(tblCategorySales[[#This Row],[SalesPersonID]],tblSalespersonSummary[SalesPersonID],tblSalespersonSummary[SalespersonName],"Not found")</f>
        <v>Tsvi Reiter</v>
      </c>
      <c r="M630" t="str">
        <f>IF(tblCategorySales[[#This Row],[SalespersonName]]=tblCategorySales[[#This Row],[ExpectedSalespersonName]],"Match","Mismatch")</f>
        <v>Match</v>
      </c>
    </row>
    <row r="631" spans="1:13" x14ac:dyDescent="0.3">
      <c r="A631">
        <v>279</v>
      </c>
      <c r="B631" t="s">
        <v>34</v>
      </c>
      <c r="C631" t="s">
        <v>35</v>
      </c>
      <c r="D631">
        <v>2014</v>
      </c>
      <c r="E631">
        <v>1</v>
      </c>
      <c r="F631">
        <v>1</v>
      </c>
      <c r="G631" t="s">
        <v>71</v>
      </c>
      <c r="H631">
        <v>34</v>
      </c>
      <c r="I631">
        <v>539</v>
      </c>
      <c r="J631">
        <v>472883.72547599999</v>
      </c>
      <c r="K631" t="s">
        <v>74</v>
      </c>
      <c r="L631" t="str">
        <f>_xlfn.XLOOKUP(tblCategorySales[[#This Row],[SalesPersonID]],tblSalespersonSummary[SalesPersonID],tblSalespersonSummary[SalespersonName],"Not found")</f>
        <v>Tsvi Reiter</v>
      </c>
      <c r="M631" t="str">
        <f>IF(tblCategorySales[[#This Row],[SalespersonName]]=tblCategorySales[[#This Row],[ExpectedSalespersonName]],"Match","Mismatch")</f>
        <v>Match</v>
      </c>
    </row>
    <row r="632" spans="1:13" x14ac:dyDescent="0.3">
      <c r="A632">
        <v>279</v>
      </c>
      <c r="B632" t="s">
        <v>34</v>
      </c>
      <c r="C632" t="s">
        <v>35</v>
      </c>
      <c r="D632">
        <v>2014</v>
      </c>
      <c r="E632">
        <v>1</v>
      </c>
      <c r="F632">
        <v>3</v>
      </c>
      <c r="G632" t="s">
        <v>72</v>
      </c>
      <c r="H632">
        <v>24</v>
      </c>
      <c r="I632">
        <v>475</v>
      </c>
      <c r="J632">
        <v>13857.084440000001</v>
      </c>
      <c r="K632" t="s">
        <v>74</v>
      </c>
      <c r="L632" t="str">
        <f>_xlfn.XLOOKUP(tblCategorySales[[#This Row],[SalesPersonID]],tblSalespersonSummary[SalesPersonID],tblSalespersonSummary[SalespersonName],"Not found")</f>
        <v>Tsvi Reiter</v>
      </c>
      <c r="M632" t="str">
        <f>IF(tblCategorySales[[#This Row],[SalespersonName]]=tblCategorySales[[#This Row],[ExpectedSalespersonName]],"Match","Mismatch")</f>
        <v>Match</v>
      </c>
    </row>
    <row r="633" spans="1:13" x14ac:dyDescent="0.3">
      <c r="A633">
        <v>279</v>
      </c>
      <c r="B633" t="s">
        <v>34</v>
      </c>
      <c r="C633" t="s">
        <v>35</v>
      </c>
      <c r="D633">
        <v>2014</v>
      </c>
      <c r="E633">
        <v>1</v>
      </c>
      <c r="F633">
        <v>2</v>
      </c>
      <c r="G633" t="s">
        <v>73</v>
      </c>
      <c r="H633">
        <v>28</v>
      </c>
      <c r="I633">
        <v>275</v>
      </c>
      <c r="J633">
        <v>63251.322</v>
      </c>
      <c r="K633" t="s">
        <v>74</v>
      </c>
      <c r="L633" t="str">
        <f>_xlfn.XLOOKUP(tblCategorySales[[#This Row],[SalesPersonID]],tblSalespersonSummary[SalesPersonID],tblSalespersonSummary[SalespersonName],"Not found")</f>
        <v>Tsvi Reiter</v>
      </c>
      <c r="M633" t="str">
        <f>IF(tblCategorySales[[#This Row],[SalespersonName]]=tblCategorySales[[#This Row],[ExpectedSalespersonName]],"Match","Mismatch")</f>
        <v>Match</v>
      </c>
    </row>
    <row r="634" spans="1:13" x14ac:dyDescent="0.3">
      <c r="A634">
        <v>283</v>
      </c>
      <c r="B634" t="s">
        <v>15</v>
      </c>
      <c r="C634" t="s">
        <v>16</v>
      </c>
      <c r="D634">
        <v>2014</v>
      </c>
      <c r="E634">
        <v>2</v>
      </c>
      <c r="F634">
        <v>4</v>
      </c>
      <c r="G634" t="s">
        <v>70</v>
      </c>
      <c r="H634">
        <v>2</v>
      </c>
      <c r="I634">
        <v>24</v>
      </c>
      <c r="J634">
        <v>435.30599999999998</v>
      </c>
      <c r="K634" t="s">
        <v>63</v>
      </c>
      <c r="L634" t="str">
        <f>_xlfn.XLOOKUP(tblCategorySales[[#This Row],[SalesPersonID]],tblSalespersonSummary[SalesPersonID],tblSalespersonSummary[SalespersonName],"Not found")</f>
        <v>David Campbell</v>
      </c>
      <c r="M634" t="str">
        <f>IF(tblCategorySales[[#This Row],[SalespersonName]]=tblCategorySales[[#This Row],[ExpectedSalespersonName]],"Match","Mismatch")</f>
        <v>Match</v>
      </c>
    </row>
    <row r="635" spans="1:13" x14ac:dyDescent="0.3">
      <c r="A635">
        <v>283</v>
      </c>
      <c r="B635" t="s">
        <v>15</v>
      </c>
      <c r="C635" t="s">
        <v>16</v>
      </c>
      <c r="D635">
        <v>2014</v>
      </c>
      <c r="E635">
        <v>2</v>
      </c>
      <c r="F635">
        <v>1</v>
      </c>
      <c r="G635" t="s">
        <v>71</v>
      </c>
      <c r="H635">
        <v>3</v>
      </c>
      <c r="I635">
        <v>124</v>
      </c>
      <c r="J635">
        <v>120737.90640000001</v>
      </c>
      <c r="K635" t="s">
        <v>63</v>
      </c>
      <c r="L635" t="str">
        <f>_xlfn.XLOOKUP(tblCategorySales[[#This Row],[SalesPersonID]],tblSalespersonSummary[SalesPersonID],tblSalespersonSummary[SalespersonName],"Not found")</f>
        <v>David Campbell</v>
      </c>
      <c r="M635" t="str">
        <f>IF(tblCategorySales[[#This Row],[SalespersonName]]=tblCategorySales[[#This Row],[ExpectedSalespersonName]],"Match","Mismatch")</f>
        <v>Match</v>
      </c>
    </row>
    <row r="636" spans="1:13" x14ac:dyDescent="0.3">
      <c r="A636">
        <v>283</v>
      </c>
      <c r="B636" t="s">
        <v>15</v>
      </c>
      <c r="C636" t="s">
        <v>16</v>
      </c>
      <c r="D636">
        <v>2014</v>
      </c>
      <c r="E636">
        <v>2</v>
      </c>
      <c r="F636">
        <v>3</v>
      </c>
      <c r="G636" t="s">
        <v>72</v>
      </c>
      <c r="H636">
        <v>3</v>
      </c>
      <c r="I636">
        <v>46</v>
      </c>
      <c r="J636">
        <v>1560.9780000000001</v>
      </c>
      <c r="K636" t="s">
        <v>63</v>
      </c>
      <c r="L636" t="str">
        <f>_xlfn.XLOOKUP(tblCategorySales[[#This Row],[SalesPersonID]],tblSalespersonSummary[SalesPersonID],tblSalespersonSummary[SalespersonName],"Not found")</f>
        <v>David Campbell</v>
      </c>
      <c r="M636" t="str">
        <f>IF(tblCategorySales[[#This Row],[SalespersonName]]=tblCategorySales[[#This Row],[ExpectedSalespersonName]],"Match","Mismatch")</f>
        <v>Match</v>
      </c>
    </row>
    <row r="637" spans="1:13" x14ac:dyDescent="0.3">
      <c r="A637">
        <v>283</v>
      </c>
      <c r="B637" t="s">
        <v>15</v>
      </c>
      <c r="C637" t="s">
        <v>16</v>
      </c>
      <c r="D637">
        <v>2014</v>
      </c>
      <c r="E637">
        <v>2</v>
      </c>
      <c r="F637">
        <v>2</v>
      </c>
      <c r="G637" t="s">
        <v>73</v>
      </c>
      <c r="H637">
        <v>4</v>
      </c>
      <c r="I637">
        <v>112</v>
      </c>
      <c r="J637">
        <v>19217.777999999998</v>
      </c>
      <c r="K637" t="s">
        <v>63</v>
      </c>
      <c r="L637" t="str">
        <f>_xlfn.XLOOKUP(tblCategorySales[[#This Row],[SalesPersonID]],tblSalespersonSummary[SalesPersonID],tblSalespersonSummary[SalespersonName],"Not found")</f>
        <v>David Campbell</v>
      </c>
      <c r="M637" t="str">
        <f>IF(tblCategorySales[[#This Row],[SalespersonName]]=tblCategorySales[[#This Row],[ExpectedSalespersonName]],"Match","Mismatch")</f>
        <v>Match</v>
      </c>
    </row>
    <row r="638" spans="1:13" x14ac:dyDescent="0.3">
      <c r="A638">
        <v>278</v>
      </c>
      <c r="B638" t="s">
        <v>21</v>
      </c>
      <c r="C638" t="s">
        <v>22</v>
      </c>
      <c r="D638">
        <v>2014</v>
      </c>
      <c r="E638">
        <v>2</v>
      </c>
      <c r="F638">
        <v>4</v>
      </c>
      <c r="G638" t="s">
        <v>70</v>
      </c>
      <c r="H638">
        <v>4</v>
      </c>
      <c r="I638">
        <v>95</v>
      </c>
      <c r="J638">
        <v>2351.0502999999999</v>
      </c>
      <c r="K638" t="s">
        <v>63</v>
      </c>
      <c r="L638" t="str">
        <f>_xlfn.XLOOKUP(tblCategorySales[[#This Row],[SalesPersonID]],tblSalespersonSummary[SalesPersonID],tblSalespersonSummary[SalespersonName],"Not found")</f>
        <v>Garrett Vargas</v>
      </c>
      <c r="M638" t="str">
        <f>IF(tblCategorySales[[#This Row],[SalespersonName]]=tblCategorySales[[#This Row],[ExpectedSalespersonName]],"Match","Mismatch")</f>
        <v>Match</v>
      </c>
    </row>
    <row r="639" spans="1:13" x14ac:dyDescent="0.3">
      <c r="A639">
        <v>278</v>
      </c>
      <c r="B639" t="s">
        <v>21</v>
      </c>
      <c r="C639" t="s">
        <v>22</v>
      </c>
      <c r="D639">
        <v>2014</v>
      </c>
      <c r="E639">
        <v>2</v>
      </c>
      <c r="F639">
        <v>1</v>
      </c>
      <c r="G639" t="s">
        <v>71</v>
      </c>
      <c r="H639">
        <v>8</v>
      </c>
      <c r="I639">
        <v>133</v>
      </c>
      <c r="J639">
        <v>108458.3484</v>
      </c>
      <c r="K639" t="s">
        <v>63</v>
      </c>
      <c r="L639" t="str">
        <f>_xlfn.XLOOKUP(tblCategorySales[[#This Row],[SalesPersonID]],tblSalespersonSummary[SalesPersonID],tblSalespersonSummary[SalespersonName],"Not found")</f>
        <v>Garrett Vargas</v>
      </c>
      <c r="M639" t="str">
        <f>IF(tblCategorySales[[#This Row],[SalespersonName]]=tblCategorySales[[#This Row],[ExpectedSalespersonName]],"Match","Mismatch")</f>
        <v>Match</v>
      </c>
    </row>
    <row r="640" spans="1:13" x14ac:dyDescent="0.3">
      <c r="A640">
        <v>278</v>
      </c>
      <c r="B640" t="s">
        <v>21</v>
      </c>
      <c r="C640" t="s">
        <v>22</v>
      </c>
      <c r="D640">
        <v>2014</v>
      </c>
      <c r="E640">
        <v>2</v>
      </c>
      <c r="F640">
        <v>3</v>
      </c>
      <c r="G640" t="s">
        <v>72</v>
      </c>
      <c r="H640">
        <v>5</v>
      </c>
      <c r="I640">
        <v>152</v>
      </c>
      <c r="J640">
        <v>4672.5015320000002</v>
      </c>
      <c r="K640" t="s">
        <v>63</v>
      </c>
      <c r="L640" t="str">
        <f>_xlfn.XLOOKUP(tblCategorySales[[#This Row],[SalesPersonID]],tblSalespersonSummary[SalesPersonID],tblSalespersonSummary[SalespersonName],"Not found")</f>
        <v>Garrett Vargas</v>
      </c>
      <c r="M640" t="str">
        <f>IF(tblCategorySales[[#This Row],[SalespersonName]]=tblCategorySales[[#This Row],[ExpectedSalespersonName]],"Match","Mismatch")</f>
        <v>Match</v>
      </c>
    </row>
    <row r="641" spans="1:13" x14ac:dyDescent="0.3">
      <c r="A641">
        <v>278</v>
      </c>
      <c r="B641" t="s">
        <v>21</v>
      </c>
      <c r="C641" t="s">
        <v>22</v>
      </c>
      <c r="D641">
        <v>2014</v>
      </c>
      <c r="E641">
        <v>2</v>
      </c>
      <c r="F641">
        <v>2</v>
      </c>
      <c r="G641" t="s">
        <v>73</v>
      </c>
      <c r="H641">
        <v>9</v>
      </c>
      <c r="I641">
        <v>104</v>
      </c>
      <c r="J641">
        <v>29931.108</v>
      </c>
      <c r="K641" t="s">
        <v>63</v>
      </c>
      <c r="L641" t="str">
        <f>_xlfn.XLOOKUP(tblCategorySales[[#This Row],[SalesPersonID]],tblSalespersonSummary[SalesPersonID],tblSalespersonSummary[SalespersonName],"Not found")</f>
        <v>Garrett Vargas</v>
      </c>
      <c r="M641" t="str">
        <f>IF(tblCategorySales[[#This Row],[SalespersonName]]=tblCategorySales[[#This Row],[ExpectedSalespersonName]],"Match","Mismatch")</f>
        <v>Match</v>
      </c>
    </row>
    <row r="642" spans="1:13" x14ac:dyDescent="0.3">
      <c r="A642">
        <v>289</v>
      </c>
      <c r="B642" t="s">
        <v>44</v>
      </c>
      <c r="C642" t="s">
        <v>45</v>
      </c>
      <c r="D642">
        <v>2014</v>
      </c>
      <c r="E642">
        <v>2</v>
      </c>
      <c r="F642">
        <v>4</v>
      </c>
      <c r="G642" t="s">
        <v>70</v>
      </c>
      <c r="H642">
        <v>7</v>
      </c>
      <c r="I642">
        <v>237</v>
      </c>
      <c r="J642">
        <v>6150.0711769999998</v>
      </c>
      <c r="K642" t="s">
        <v>63</v>
      </c>
      <c r="L642" t="str">
        <f>_xlfn.XLOOKUP(tblCategorySales[[#This Row],[SalesPersonID]],tblSalespersonSummary[SalesPersonID],tblSalespersonSummary[SalespersonName],"Not found")</f>
        <v>Jae Pak</v>
      </c>
      <c r="M642" t="str">
        <f>IF(tblCategorySales[[#This Row],[SalespersonName]]=tblCategorySales[[#This Row],[ExpectedSalespersonName]],"Match","Mismatch")</f>
        <v>Match</v>
      </c>
    </row>
    <row r="643" spans="1:13" x14ac:dyDescent="0.3">
      <c r="A643">
        <v>289</v>
      </c>
      <c r="B643" t="s">
        <v>44</v>
      </c>
      <c r="C643" t="s">
        <v>45</v>
      </c>
      <c r="D643">
        <v>2014</v>
      </c>
      <c r="E643">
        <v>2</v>
      </c>
      <c r="F643">
        <v>1</v>
      </c>
      <c r="G643" t="s">
        <v>71</v>
      </c>
      <c r="H643">
        <v>19</v>
      </c>
      <c r="I643">
        <v>391</v>
      </c>
      <c r="J643">
        <v>333130.28519999998</v>
      </c>
      <c r="K643" t="s">
        <v>63</v>
      </c>
      <c r="L643" t="str">
        <f>_xlfn.XLOOKUP(tblCategorySales[[#This Row],[SalesPersonID]],tblSalespersonSummary[SalesPersonID],tblSalespersonSummary[SalespersonName],"Not found")</f>
        <v>Jae Pak</v>
      </c>
      <c r="M643" t="str">
        <f>IF(tblCategorySales[[#This Row],[SalespersonName]]=tblCategorySales[[#This Row],[ExpectedSalespersonName]],"Match","Mismatch")</f>
        <v>Match</v>
      </c>
    </row>
    <row r="644" spans="1:13" x14ac:dyDescent="0.3">
      <c r="A644">
        <v>289</v>
      </c>
      <c r="B644" t="s">
        <v>44</v>
      </c>
      <c r="C644" t="s">
        <v>45</v>
      </c>
      <c r="D644">
        <v>2014</v>
      </c>
      <c r="E644">
        <v>2</v>
      </c>
      <c r="F644">
        <v>3</v>
      </c>
      <c r="G644" t="s">
        <v>72</v>
      </c>
      <c r="H644">
        <v>13</v>
      </c>
      <c r="I644">
        <v>556</v>
      </c>
      <c r="J644">
        <v>15638.771473999999</v>
      </c>
      <c r="K644" t="s">
        <v>63</v>
      </c>
      <c r="L644" t="str">
        <f>_xlfn.XLOOKUP(tblCategorySales[[#This Row],[SalesPersonID]],tblSalespersonSummary[SalesPersonID],tblSalespersonSummary[SalespersonName],"Not found")</f>
        <v>Jae Pak</v>
      </c>
      <c r="M644" t="str">
        <f>IF(tblCategorySales[[#This Row],[SalespersonName]]=tblCategorySales[[#This Row],[ExpectedSalespersonName]],"Match","Mismatch")</f>
        <v>Match</v>
      </c>
    </row>
    <row r="645" spans="1:13" x14ac:dyDescent="0.3">
      <c r="A645">
        <v>289</v>
      </c>
      <c r="B645" t="s">
        <v>44</v>
      </c>
      <c r="C645" t="s">
        <v>45</v>
      </c>
      <c r="D645">
        <v>2014</v>
      </c>
      <c r="E645">
        <v>2</v>
      </c>
      <c r="F645">
        <v>2</v>
      </c>
      <c r="G645" t="s">
        <v>73</v>
      </c>
      <c r="H645">
        <v>15</v>
      </c>
      <c r="I645">
        <v>350</v>
      </c>
      <c r="J645">
        <v>84864.924700000003</v>
      </c>
      <c r="K645" t="s">
        <v>63</v>
      </c>
      <c r="L645" t="str">
        <f>_xlfn.XLOOKUP(tblCategorySales[[#This Row],[SalesPersonID]],tblSalespersonSummary[SalesPersonID],tblSalespersonSummary[SalespersonName],"Not found")</f>
        <v>Jae Pak</v>
      </c>
      <c r="M645" t="str">
        <f>IF(tblCategorySales[[#This Row],[SalespersonName]]=tblCategorySales[[#This Row],[ExpectedSalespersonName]],"Match","Mismatch")</f>
        <v>Match</v>
      </c>
    </row>
    <row r="646" spans="1:13" x14ac:dyDescent="0.3">
      <c r="A646">
        <v>277</v>
      </c>
      <c r="B646" t="s">
        <v>23</v>
      </c>
      <c r="C646" t="s">
        <v>24</v>
      </c>
      <c r="D646">
        <v>2014</v>
      </c>
      <c r="E646">
        <v>2</v>
      </c>
      <c r="F646">
        <v>4</v>
      </c>
      <c r="G646" t="s">
        <v>70</v>
      </c>
      <c r="H646">
        <v>6</v>
      </c>
      <c r="I646">
        <v>240</v>
      </c>
      <c r="J646">
        <v>5969.1669789999996</v>
      </c>
      <c r="K646" t="s">
        <v>63</v>
      </c>
      <c r="L646" t="str">
        <f>_xlfn.XLOOKUP(tblCategorySales[[#This Row],[SalesPersonID]],tblSalespersonSummary[SalesPersonID],tblSalespersonSummary[SalespersonName],"Not found")</f>
        <v>Jillian Carson</v>
      </c>
      <c r="M646" t="str">
        <f>IF(tblCategorySales[[#This Row],[SalespersonName]]=tblCategorySales[[#This Row],[ExpectedSalespersonName]],"Match","Mismatch")</f>
        <v>Match</v>
      </c>
    </row>
    <row r="647" spans="1:13" x14ac:dyDescent="0.3">
      <c r="A647">
        <v>277</v>
      </c>
      <c r="B647" t="s">
        <v>23</v>
      </c>
      <c r="C647" t="s">
        <v>24</v>
      </c>
      <c r="D647">
        <v>2014</v>
      </c>
      <c r="E647">
        <v>2</v>
      </c>
      <c r="F647">
        <v>1</v>
      </c>
      <c r="G647" t="s">
        <v>71</v>
      </c>
      <c r="H647">
        <v>11</v>
      </c>
      <c r="I647">
        <v>327</v>
      </c>
      <c r="J647">
        <v>272684.37965800002</v>
      </c>
      <c r="K647" t="s">
        <v>63</v>
      </c>
      <c r="L647" t="str">
        <f>_xlfn.XLOOKUP(tblCategorySales[[#This Row],[SalesPersonID]],tblSalespersonSummary[SalesPersonID],tblSalespersonSummary[SalespersonName],"Not found")</f>
        <v>Jillian Carson</v>
      </c>
      <c r="M647" t="str">
        <f>IF(tblCategorySales[[#This Row],[SalespersonName]]=tblCategorySales[[#This Row],[ExpectedSalespersonName]],"Match","Mismatch")</f>
        <v>Match</v>
      </c>
    </row>
    <row r="648" spans="1:13" x14ac:dyDescent="0.3">
      <c r="A648">
        <v>277</v>
      </c>
      <c r="B648" t="s">
        <v>23</v>
      </c>
      <c r="C648" t="s">
        <v>24</v>
      </c>
      <c r="D648">
        <v>2014</v>
      </c>
      <c r="E648">
        <v>2</v>
      </c>
      <c r="F648">
        <v>3</v>
      </c>
      <c r="G648" t="s">
        <v>72</v>
      </c>
      <c r="H648">
        <v>10</v>
      </c>
      <c r="I648">
        <v>392</v>
      </c>
      <c r="J648">
        <v>9440.6110840000001</v>
      </c>
      <c r="K648" t="s">
        <v>63</v>
      </c>
      <c r="L648" t="str">
        <f>_xlfn.XLOOKUP(tblCategorySales[[#This Row],[SalesPersonID]],tblSalespersonSummary[SalesPersonID],tblSalespersonSummary[SalespersonName],"Not found")</f>
        <v>Jillian Carson</v>
      </c>
      <c r="M648" t="str">
        <f>IF(tblCategorySales[[#This Row],[SalespersonName]]=tblCategorySales[[#This Row],[ExpectedSalespersonName]],"Match","Mismatch")</f>
        <v>Match</v>
      </c>
    </row>
    <row r="649" spans="1:13" x14ac:dyDescent="0.3">
      <c r="A649">
        <v>277</v>
      </c>
      <c r="B649" t="s">
        <v>23</v>
      </c>
      <c r="C649" t="s">
        <v>24</v>
      </c>
      <c r="D649">
        <v>2014</v>
      </c>
      <c r="E649">
        <v>2</v>
      </c>
      <c r="F649">
        <v>2</v>
      </c>
      <c r="G649" t="s">
        <v>73</v>
      </c>
      <c r="H649">
        <v>12</v>
      </c>
      <c r="I649">
        <v>177</v>
      </c>
      <c r="J649">
        <v>49892.063999999998</v>
      </c>
      <c r="K649" t="s">
        <v>63</v>
      </c>
      <c r="L649" t="str">
        <f>_xlfn.XLOOKUP(tblCategorySales[[#This Row],[SalesPersonID]],tblSalespersonSummary[SalesPersonID],tblSalespersonSummary[SalespersonName],"Not found")</f>
        <v>Jillian Carson</v>
      </c>
      <c r="M649" t="str">
        <f>IF(tblCategorySales[[#This Row],[SalespersonName]]=tblCategorySales[[#This Row],[ExpectedSalespersonName]],"Match","Mismatch")</f>
        <v>Match</v>
      </c>
    </row>
    <row r="650" spans="1:13" x14ac:dyDescent="0.3">
      <c r="A650">
        <v>282</v>
      </c>
      <c r="B650" t="s">
        <v>25</v>
      </c>
      <c r="C650" t="s">
        <v>22</v>
      </c>
      <c r="D650">
        <v>2014</v>
      </c>
      <c r="E650">
        <v>2</v>
      </c>
      <c r="F650">
        <v>4</v>
      </c>
      <c r="G650" t="s">
        <v>70</v>
      </c>
      <c r="H650">
        <v>6</v>
      </c>
      <c r="I650">
        <v>182</v>
      </c>
      <c r="J650">
        <v>3908.9364110000001</v>
      </c>
      <c r="K650" t="s">
        <v>63</v>
      </c>
      <c r="L650" t="str">
        <f>_xlfn.XLOOKUP(tblCategorySales[[#This Row],[SalesPersonID]],tblSalespersonSummary[SalesPersonID],tblSalespersonSummary[SalespersonName],"Not found")</f>
        <v>José Saraiva</v>
      </c>
      <c r="M650" t="str">
        <f>IF(tblCategorySales[[#This Row],[SalespersonName]]=tblCategorySales[[#This Row],[ExpectedSalespersonName]],"Match","Mismatch")</f>
        <v>Match</v>
      </c>
    </row>
    <row r="651" spans="1:13" x14ac:dyDescent="0.3">
      <c r="A651">
        <v>282</v>
      </c>
      <c r="B651" t="s">
        <v>25</v>
      </c>
      <c r="C651" t="s">
        <v>22</v>
      </c>
      <c r="D651">
        <v>2014</v>
      </c>
      <c r="E651">
        <v>2</v>
      </c>
      <c r="F651">
        <v>1</v>
      </c>
      <c r="G651" t="s">
        <v>71</v>
      </c>
      <c r="H651">
        <v>9</v>
      </c>
      <c r="I651">
        <v>412</v>
      </c>
      <c r="J651">
        <v>347534.42619600001</v>
      </c>
      <c r="K651" t="s">
        <v>63</v>
      </c>
      <c r="L651" t="str">
        <f>_xlfn.XLOOKUP(tblCategorySales[[#This Row],[SalesPersonID]],tblSalespersonSummary[SalesPersonID],tblSalespersonSummary[SalespersonName],"Not found")</f>
        <v>José Saraiva</v>
      </c>
      <c r="M651" t="str">
        <f>IF(tblCategorySales[[#This Row],[SalespersonName]]=tblCategorySales[[#This Row],[ExpectedSalespersonName]],"Match","Mismatch")</f>
        <v>Match</v>
      </c>
    </row>
    <row r="652" spans="1:13" x14ac:dyDescent="0.3">
      <c r="A652">
        <v>282</v>
      </c>
      <c r="B652" t="s">
        <v>25</v>
      </c>
      <c r="C652" t="s">
        <v>22</v>
      </c>
      <c r="D652">
        <v>2014</v>
      </c>
      <c r="E652">
        <v>2</v>
      </c>
      <c r="F652">
        <v>3</v>
      </c>
      <c r="G652" t="s">
        <v>72</v>
      </c>
      <c r="H652">
        <v>9</v>
      </c>
      <c r="I652">
        <v>304</v>
      </c>
      <c r="J652">
        <v>8782.8740570000009</v>
      </c>
      <c r="K652" t="s">
        <v>63</v>
      </c>
      <c r="L652" t="str">
        <f>_xlfn.XLOOKUP(tblCategorySales[[#This Row],[SalesPersonID]],tblSalespersonSummary[SalesPersonID],tblSalespersonSummary[SalespersonName],"Not found")</f>
        <v>José Saraiva</v>
      </c>
      <c r="M652" t="str">
        <f>IF(tblCategorySales[[#This Row],[SalespersonName]]=tblCategorySales[[#This Row],[ExpectedSalespersonName]],"Match","Mismatch")</f>
        <v>Match</v>
      </c>
    </row>
    <row r="653" spans="1:13" x14ac:dyDescent="0.3">
      <c r="A653">
        <v>282</v>
      </c>
      <c r="B653" t="s">
        <v>25</v>
      </c>
      <c r="C653" t="s">
        <v>22</v>
      </c>
      <c r="D653">
        <v>2014</v>
      </c>
      <c r="E653">
        <v>2</v>
      </c>
      <c r="F653">
        <v>2</v>
      </c>
      <c r="G653" t="s">
        <v>73</v>
      </c>
      <c r="H653">
        <v>11</v>
      </c>
      <c r="I653">
        <v>274</v>
      </c>
      <c r="J653">
        <v>65752.872000000003</v>
      </c>
      <c r="K653" t="s">
        <v>63</v>
      </c>
      <c r="L653" t="str">
        <f>_xlfn.XLOOKUP(tblCategorySales[[#This Row],[SalesPersonID]],tblSalespersonSummary[SalesPersonID],tblSalespersonSummary[SalespersonName],"Not found")</f>
        <v>José Saraiva</v>
      </c>
      <c r="M653" t="str">
        <f>IF(tblCategorySales[[#This Row],[SalespersonName]]=tblCategorySales[[#This Row],[ExpectedSalespersonName]],"Match","Mismatch")</f>
        <v>Match</v>
      </c>
    </row>
    <row r="654" spans="1:13" x14ac:dyDescent="0.3">
      <c r="A654">
        <v>276</v>
      </c>
      <c r="B654" t="s">
        <v>26</v>
      </c>
      <c r="C654" t="s">
        <v>27</v>
      </c>
      <c r="D654">
        <v>2014</v>
      </c>
      <c r="E654">
        <v>2</v>
      </c>
      <c r="F654">
        <v>4</v>
      </c>
      <c r="G654" t="s">
        <v>70</v>
      </c>
      <c r="H654">
        <v>7</v>
      </c>
      <c r="I654">
        <v>153</v>
      </c>
      <c r="J654">
        <v>3006.2076010000001</v>
      </c>
      <c r="K654" t="s">
        <v>63</v>
      </c>
      <c r="L654" t="str">
        <f>_xlfn.XLOOKUP(tblCategorySales[[#This Row],[SalesPersonID]],tblSalespersonSummary[SalesPersonID],tblSalespersonSummary[SalespersonName],"Not found")</f>
        <v>Linda Mitchell</v>
      </c>
      <c r="M654" t="str">
        <f>IF(tblCategorySales[[#This Row],[SalespersonName]]=tblCategorySales[[#This Row],[ExpectedSalespersonName]],"Match","Mismatch")</f>
        <v>Match</v>
      </c>
    </row>
    <row r="655" spans="1:13" x14ac:dyDescent="0.3">
      <c r="A655">
        <v>276</v>
      </c>
      <c r="B655" t="s">
        <v>26</v>
      </c>
      <c r="C655" t="s">
        <v>27</v>
      </c>
      <c r="D655">
        <v>2014</v>
      </c>
      <c r="E655">
        <v>2</v>
      </c>
      <c r="F655">
        <v>1</v>
      </c>
      <c r="G655" t="s">
        <v>71</v>
      </c>
      <c r="H655">
        <v>13</v>
      </c>
      <c r="I655">
        <v>271</v>
      </c>
      <c r="J655">
        <v>227077.132408</v>
      </c>
      <c r="K655" t="s">
        <v>63</v>
      </c>
      <c r="L655" t="str">
        <f>_xlfn.XLOOKUP(tblCategorySales[[#This Row],[SalesPersonID]],tblSalespersonSummary[SalesPersonID],tblSalespersonSummary[SalespersonName],"Not found")</f>
        <v>Linda Mitchell</v>
      </c>
      <c r="M655" t="str">
        <f>IF(tblCategorySales[[#This Row],[SalespersonName]]=tblCategorySales[[#This Row],[ExpectedSalespersonName]],"Match","Mismatch")</f>
        <v>Match</v>
      </c>
    </row>
    <row r="656" spans="1:13" x14ac:dyDescent="0.3">
      <c r="A656">
        <v>276</v>
      </c>
      <c r="B656" t="s">
        <v>26</v>
      </c>
      <c r="C656" t="s">
        <v>27</v>
      </c>
      <c r="D656">
        <v>2014</v>
      </c>
      <c r="E656">
        <v>2</v>
      </c>
      <c r="F656">
        <v>3</v>
      </c>
      <c r="G656" t="s">
        <v>72</v>
      </c>
      <c r="H656">
        <v>14</v>
      </c>
      <c r="I656">
        <v>302</v>
      </c>
      <c r="J656">
        <v>7304.8443850000003</v>
      </c>
      <c r="K656" t="s">
        <v>63</v>
      </c>
      <c r="L656" t="str">
        <f>_xlfn.XLOOKUP(tblCategorySales[[#This Row],[SalesPersonID]],tblSalespersonSummary[SalesPersonID],tblSalespersonSummary[SalespersonName],"Not found")</f>
        <v>Linda Mitchell</v>
      </c>
      <c r="M656" t="str">
        <f>IF(tblCategorySales[[#This Row],[SalespersonName]]=tblCategorySales[[#This Row],[ExpectedSalespersonName]],"Match","Mismatch")</f>
        <v>Match</v>
      </c>
    </row>
    <row r="657" spans="1:13" x14ac:dyDescent="0.3">
      <c r="A657">
        <v>276</v>
      </c>
      <c r="B657" t="s">
        <v>26</v>
      </c>
      <c r="C657" t="s">
        <v>27</v>
      </c>
      <c r="D657">
        <v>2014</v>
      </c>
      <c r="E657">
        <v>2</v>
      </c>
      <c r="F657">
        <v>2</v>
      </c>
      <c r="G657" t="s">
        <v>73</v>
      </c>
      <c r="H657">
        <v>17</v>
      </c>
      <c r="I657">
        <v>189</v>
      </c>
      <c r="J657">
        <v>45322.86</v>
      </c>
      <c r="K657" t="s">
        <v>63</v>
      </c>
      <c r="L657" t="str">
        <f>_xlfn.XLOOKUP(tblCategorySales[[#This Row],[SalesPersonID]],tblSalespersonSummary[SalesPersonID],tblSalespersonSummary[SalespersonName],"Not found")</f>
        <v>Linda Mitchell</v>
      </c>
      <c r="M657" t="str">
        <f>IF(tblCategorySales[[#This Row],[SalespersonName]]=tblCategorySales[[#This Row],[ExpectedSalespersonName]],"Match","Mismatch")</f>
        <v>Match</v>
      </c>
    </row>
    <row r="658" spans="1:13" x14ac:dyDescent="0.3">
      <c r="A658">
        <v>286</v>
      </c>
      <c r="B658" t="s">
        <v>54</v>
      </c>
      <c r="C658" t="s">
        <v>55</v>
      </c>
      <c r="D658">
        <v>2014</v>
      </c>
      <c r="E658">
        <v>2</v>
      </c>
      <c r="F658">
        <v>4</v>
      </c>
      <c r="G658" t="s">
        <v>70</v>
      </c>
      <c r="H658">
        <v>7</v>
      </c>
      <c r="I658">
        <v>190</v>
      </c>
      <c r="J658">
        <v>5211.7860000000001</v>
      </c>
      <c r="K658" t="s">
        <v>63</v>
      </c>
      <c r="L658" t="str">
        <f>_xlfn.XLOOKUP(tblCategorySales[[#This Row],[SalesPersonID]],tblSalespersonSummary[SalesPersonID],tblSalespersonSummary[SalespersonName],"Not found")</f>
        <v>Lynn Tsoflias</v>
      </c>
      <c r="M658" t="str">
        <f>IF(tblCategorySales[[#This Row],[SalespersonName]]=tblCategorySales[[#This Row],[ExpectedSalespersonName]],"Match","Mismatch")</f>
        <v>Match</v>
      </c>
    </row>
    <row r="659" spans="1:13" x14ac:dyDescent="0.3">
      <c r="A659">
        <v>286</v>
      </c>
      <c r="B659" t="s">
        <v>54</v>
      </c>
      <c r="C659" t="s">
        <v>55</v>
      </c>
      <c r="D659">
        <v>2014</v>
      </c>
      <c r="E659">
        <v>2</v>
      </c>
      <c r="F659">
        <v>1</v>
      </c>
      <c r="G659" t="s">
        <v>71</v>
      </c>
      <c r="H659">
        <v>13</v>
      </c>
      <c r="I659">
        <v>206</v>
      </c>
      <c r="J659">
        <v>178513.21919999999</v>
      </c>
      <c r="K659" t="s">
        <v>63</v>
      </c>
      <c r="L659" t="str">
        <f>_xlfn.XLOOKUP(tblCategorySales[[#This Row],[SalesPersonID]],tblSalespersonSummary[SalesPersonID],tblSalespersonSummary[SalespersonName],"Not found")</f>
        <v>Lynn Tsoflias</v>
      </c>
      <c r="M659" t="str">
        <f>IF(tblCategorySales[[#This Row],[SalespersonName]]=tblCategorySales[[#This Row],[ExpectedSalespersonName]],"Match","Mismatch")</f>
        <v>Match</v>
      </c>
    </row>
    <row r="660" spans="1:13" x14ac:dyDescent="0.3">
      <c r="A660">
        <v>286</v>
      </c>
      <c r="B660" t="s">
        <v>54</v>
      </c>
      <c r="C660" t="s">
        <v>55</v>
      </c>
      <c r="D660">
        <v>2014</v>
      </c>
      <c r="E660">
        <v>2</v>
      </c>
      <c r="F660">
        <v>3</v>
      </c>
      <c r="G660" t="s">
        <v>72</v>
      </c>
      <c r="H660">
        <v>9</v>
      </c>
      <c r="I660">
        <v>303</v>
      </c>
      <c r="J660">
        <v>9040.3443520000001</v>
      </c>
      <c r="K660" t="s">
        <v>63</v>
      </c>
      <c r="L660" t="str">
        <f>_xlfn.XLOOKUP(tblCategorySales[[#This Row],[SalesPersonID]],tblSalespersonSummary[SalesPersonID],tblSalespersonSummary[SalespersonName],"Not found")</f>
        <v>Lynn Tsoflias</v>
      </c>
      <c r="M660" t="str">
        <f>IF(tblCategorySales[[#This Row],[SalespersonName]]=tblCategorySales[[#This Row],[ExpectedSalespersonName]],"Match","Mismatch")</f>
        <v>Match</v>
      </c>
    </row>
    <row r="661" spans="1:13" x14ac:dyDescent="0.3">
      <c r="A661">
        <v>286</v>
      </c>
      <c r="B661" t="s">
        <v>54</v>
      </c>
      <c r="C661" t="s">
        <v>55</v>
      </c>
      <c r="D661">
        <v>2014</v>
      </c>
      <c r="E661">
        <v>2</v>
      </c>
      <c r="F661">
        <v>2</v>
      </c>
      <c r="G661" t="s">
        <v>73</v>
      </c>
      <c r="H661">
        <v>12</v>
      </c>
      <c r="I661">
        <v>189</v>
      </c>
      <c r="J661">
        <v>34579.631999999998</v>
      </c>
      <c r="K661" t="s">
        <v>63</v>
      </c>
      <c r="L661" t="str">
        <f>_xlfn.XLOOKUP(tblCategorySales[[#This Row],[SalesPersonID]],tblSalespersonSummary[SalesPersonID],tblSalespersonSummary[SalespersonName],"Not found")</f>
        <v>Lynn Tsoflias</v>
      </c>
      <c r="M661" t="str">
        <f>IF(tblCategorySales[[#This Row],[SalespersonName]]=tblCategorySales[[#This Row],[ExpectedSalespersonName]],"Match","Mismatch")</f>
        <v>Match</v>
      </c>
    </row>
    <row r="662" spans="1:13" x14ac:dyDescent="0.3">
      <c r="A662">
        <v>275</v>
      </c>
      <c r="B662" t="s">
        <v>28</v>
      </c>
      <c r="C662" t="s">
        <v>29</v>
      </c>
      <c r="D662">
        <v>2014</v>
      </c>
      <c r="E662">
        <v>2</v>
      </c>
      <c r="F662">
        <v>4</v>
      </c>
      <c r="G662" t="s">
        <v>70</v>
      </c>
      <c r="H662">
        <v>6</v>
      </c>
      <c r="I662">
        <v>103</v>
      </c>
      <c r="J662">
        <v>2780.468108</v>
      </c>
      <c r="K662" t="s">
        <v>63</v>
      </c>
      <c r="L662" t="str">
        <f>_xlfn.XLOOKUP(tblCategorySales[[#This Row],[SalesPersonID]],tblSalespersonSummary[SalesPersonID],tblSalespersonSummary[SalespersonName],"Not found")</f>
        <v>Michael Blythe</v>
      </c>
      <c r="M662" t="str">
        <f>IF(tblCategorySales[[#This Row],[SalespersonName]]=tblCategorySales[[#This Row],[ExpectedSalespersonName]],"Match","Mismatch")</f>
        <v>Match</v>
      </c>
    </row>
    <row r="663" spans="1:13" x14ac:dyDescent="0.3">
      <c r="A663">
        <v>275</v>
      </c>
      <c r="B663" t="s">
        <v>28</v>
      </c>
      <c r="C663" t="s">
        <v>29</v>
      </c>
      <c r="D663">
        <v>2014</v>
      </c>
      <c r="E663">
        <v>2</v>
      </c>
      <c r="F663">
        <v>1</v>
      </c>
      <c r="G663" t="s">
        <v>71</v>
      </c>
      <c r="H663">
        <v>18</v>
      </c>
      <c r="I663">
        <v>297</v>
      </c>
      <c r="J663">
        <v>283670.46360000002</v>
      </c>
      <c r="K663" t="s">
        <v>63</v>
      </c>
      <c r="L663" t="str">
        <f>_xlfn.XLOOKUP(tblCategorySales[[#This Row],[SalesPersonID]],tblSalespersonSummary[SalesPersonID],tblSalespersonSummary[SalespersonName],"Not found")</f>
        <v>Michael Blythe</v>
      </c>
      <c r="M663" t="str">
        <f>IF(tblCategorySales[[#This Row],[SalespersonName]]=tblCategorySales[[#This Row],[ExpectedSalespersonName]],"Match","Mismatch")</f>
        <v>Match</v>
      </c>
    </row>
    <row r="664" spans="1:13" x14ac:dyDescent="0.3">
      <c r="A664">
        <v>275</v>
      </c>
      <c r="B664" t="s">
        <v>28</v>
      </c>
      <c r="C664" t="s">
        <v>29</v>
      </c>
      <c r="D664">
        <v>2014</v>
      </c>
      <c r="E664">
        <v>2</v>
      </c>
      <c r="F664">
        <v>3</v>
      </c>
      <c r="G664" t="s">
        <v>72</v>
      </c>
      <c r="H664">
        <v>12</v>
      </c>
      <c r="I664">
        <v>295</v>
      </c>
      <c r="J664">
        <v>8781.6326509999999</v>
      </c>
      <c r="K664" t="s">
        <v>63</v>
      </c>
      <c r="L664" t="str">
        <f>_xlfn.XLOOKUP(tblCategorySales[[#This Row],[SalesPersonID]],tblSalespersonSummary[SalesPersonID],tblSalespersonSummary[SalespersonName],"Not found")</f>
        <v>Michael Blythe</v>
      </c>
      <c r="M664" t="str">
        <f>IF(tblCategorySales[[#This Row],[SalespersonName]]=tblCategorySales[[#This Row],[ExpectedSalespersonName]],"Match","Mismatch")</f>
        <v>Match</v>
      </c>
    </row>
    <row r="665" spans="1:13" x14ac:dyDescent="0.3">
      <c r="A665">
        <v>275</v>
      </c>
      <c r="B665" t="s">
        <v>28</v>
      </c>
      <c r="C665" t="s">
        <v>29</v>
      </c>
      <c r="D665">
        <v>2014</v>
      </c>
      <c r="E665">
        <v>2</v>
      </c>
      <c r="F665">
        <v>2</v>
      </c>
      <c r="G665" t="s">
        <v>73</v>
      </c>
      <c r="H665">
        <v>15</v>
      </c>
      <c r="I665">
        <v>375</v>
      </c>
      <c r="J665">
        <v>74774.418000000005</v>
      </c>
      <c r="K665" t="s">
        <v>63</v>
      </c>
      <c r="L665" t="str">
        <f>_xlfn.XLOOKUP(tblCategorySales[[#This Row],[SalesPersonID]],tblSalespersonSummary[SalesPersonID],tblSalespersonSummary[SalespersonName],"Not found")</f>
        <v>Michael Blythe</v>
      </c>
      <c r="M665" t="str">
        <f>IF(tblCategorySales[[#This Row],[SalespersonName]]=tblCategorySales[[#This Row],[ExpectedSalespersonName]],"Match","Mismatch")</f>
        <v>Match</v>
      </c>
    </row>
    <row r="666" spans="1:13" x14ac:dyDescent="0.3">
      <c r="A666">
        <v>280</v>
      </c>
      <c r="B666" t="s">
        <v>30</v>
      </c>
      <c r="C666" t="s">
        <v>16</v>
      </c>
      <c r="D666">
        <v>2014</v>
      </c>
      <c r="E666">
        <v>2</v>
      </c>
      <c r="F666">
        <v>4</v>
      </c>
      <c r="G666" t="s">
        <v>70</v>
      </c>
      <c r="H666">
        <v>2</v>
      </c>
      <c r="I666">
        <v>8</v>
      </c>
      <c r="J666">
        <v>323.30399999999997</v>
      </c>
      <c r="K666" t="s">
        <v>63</v>
      </c>
      <c r="L666" t="str">
        <f>_xlfn.XLOOKUP(tblCategorySales[[#This Row],[SalesPersonID]],tblSalespersonSummary[SalesPersonID],tblSalespersonSummary[SalespersonName],"Not found")</f>
        <v>Pamela Ansman-Wolfe</v>
      </c>
      <c r="M666" t="str">
        <f>IF(tblCategorySales[[#This Row],[SalespersonName]]=tblCategorySales[[#This Row],[ExpectedSalespersonName]],"Match","Mismatch")</f>
        <v>Match</v>
      </c>
    </row>
    <row r="667" spans="1:13" x14ac:dyDescent="0.3">
      <c r="A667">
        <v>280</v>
      </c>
      <c r="B667" t="s">
        <v>30</v>
      </c>
      <c r="C667" t="s">
        <v>16</v>
      </c>
      <c r="D667">
        <v>2014</v>
      </c>
      <c r="E667">
        <v>2</v>
      </c>
      <c r="F667">
        <v>1</v>
      </c>
      <c r="G667" t="s">
        <v>71</v>
      </c>
      <c r="H667">
        <v>3</v>
      </c>
      <c r="I667">
        <v>142</v>
      </c>
      <c r="J667">
        <v>120107.4552</v>
      </c>
      <c r="K667" t="s">
        <v>63</v>
      </c>
      <c r="L667" t="str">
        <f>_xlfn.XLOOKUP(tblCategorySales[[#This Row],[SalesPersonID]],tblSalespersonSummary[SalesPersonID],tblSalespersonSummary[SalespersonName],"Not found")</f>
        <v>Pamela Ansman-Wolfe</v>
      </c>
      <c r="M667" t="str">
        <f>IF(tblCategorySales[[#This Row],[SalespersonName]]=tblCategorySales[[#This Row],[ExpectedSalespersonName]],"Match","Mismatch")</f>
        <v>Match</v>
      </c>
    </row>
    <row r="668" spans="1:13" x14ac:dyDescent="0.3">
      <c r="A668">
        <v>280</v>
      </c>
      <c r="B668" t="s">
        <v>30</v>
      </c>
      <c r="C668" t="s">
        <v>16</v>
      </c>
      <c r="D668">
        <v>2014</v>
      </c>
      <c r="E668">
        <v>2</v>
      </c>
      <c r="F668">
        <v>3</v>
      </c>
      <c r="G668" t="s">
        <v>72</v>
      </c>
      <c r="H668">
        <v>2</v>
      </c>
      <c r="I668">
        <v>41</v>
      </c>
      <c r="J668">
        <v>1572.756108</v>
      </c>
      <c r="K668" t="s">
        <v>63</v>
      </c>
      <c r="L668" t="str">
        <f>_xlfn.XLOOKUP(tblCategorySales[[#This Row],[SalesPersonID]],tblSalespersonSummary[SalesPersonID],tblSalespersonSummary[SalespersonName],"Not found")</f>
        <v>Pamela Ansman-Wolfe</v>
      </c>
      <c r="M668" t="str">
        <f>IF(tblCategorySales[[#This Row],[SalespersonName]]=tblCategorySales[[#This Row],[ExpectedSalespersonName]],"Match","Mismatch")</f>
        <v>Match</v>
      </c>
    </row>
    <row r="669" spans="1:13" x14ac:dyDescent="0.3">
      <c r="A669">
        <v>280</v>
      </c>
      <c r="B669" t="s">
        <v>30</v>
      </c>
      <c r="C669" t="s">
        <v>16</v>
      </c>
      <c r="D669">
        <v>2014</v>
      </c>
      <c r="E669">
        <v>2</v>
      </c>
      <c r="F669">
        <v>2</v>
      </c>
      <c r="G669" t="s">
        <v>73</v>
      </c>
      <c r="H669">
        <v>3</v>
      </c>
      <c r="I669">
        <v>182</v>
      </c>
      <c r="J669">
        <v>29110.362000000001</v>
      </c>
      <c r="K669" t="s">
        <v>63</v>
      </c>
      <c r="L669" t="str">
        <f>_xlfn.XLOOKUP(tblCategorySales[[#This Row],[SalesPersonID]],tblSalespersonSummary[SalesPersonID],tblSalespersonSummary[SalespersonName],"Not found")</f>
        <v>Pamela Ansman-Wolfe</v>
      </c>
      <c r="M669" t="str">
        <f>IF(tblCategorySales[[#This Row],[SalespersonName]]=tblCategorySales[[#This Row],[ExpectedSalespersonName]],"Match","Mismatch")</f>
        <v>Match</v>
      </c>
    </row>
    <row r="670" spans="1:13" x14ac:dyDescent="0.3">
      <c r="A670">
        <v>288</v>
      </c>
      <c r="B670" t="s">
        <v>56</v>
      </c>
      <c r="C670" t="s">
        <v>57</v>
      </c>
      <c r="D670">
        <v>2014</v>
      </c>
      <c r="E670">
        <v>2</v>
      </c>
      <c r="F670">
        <v>4</v>
      </c>
      <c r="G670" t="s">
        <v>70</v>
      </c>
      <c r="H670">
        <v>4</v>
      </c>
      <c r="I670">
        <v>67</v>
      </c>
      <c r="J670">
        <v>1686.0840000000001</v>
      </c>
      <c r="K670" t="s">
        <v>63</v>
      </c>
      <c r="L670" t="str">
        <f>_xlfn.XLOOKUP(tblCategorySales[[#This Row],[SalesPersonID]],tblSalespersonSummary[SalesPersonID],tblSalespersonSummary[SalespersonName],"Not found")</f>
        <v>Rachel Valdez</v>
      </c>
      <c r="M670" t="str">
        <f>IF(tblCategorySales[[#This Row],[SalespersonName]]=tblCategorySales[[#This Row],[ExpectedSalespersonName]],"Match","Mismatch")</f>
        <v>Match</v>
      </c>
    </row>
    <row r="671" spans="1:13" x14ac:dyDescent="0.3">
      <c r="A671">
        <v>288</v>
      </c>
      <c r="B671" t="s">
        <v>56</v>
      </c>
      <c r="C671" t="s">
        <v>57</v>
      </c>
      <c r="D671">
        <v>2014</v>
      </c>
      <c r="E671">
        <v>2</v>
      </c>
      <c r="F671">
        <v>1</v>
      </c>
      <c r="G671" t="s">
        <v>71</v>
      </c>
      <c r="H671">
        <v>8</v>
      </c>
      <c r="I671">
        <v>130</v>
      </c>
      <c r="J671">
        <v>108980.53200000001</v>
      </c>
      <c r="K671" t="s">
        <v>63</v>
      </c>
      <c r="L671" t="str">
        <f>_xlfn.XLOOKUP(tblCategorySales[[#This Row],[SalesPersonID]],tblSalespersonSummary[SalesPersonID],tblSalespersonSummary[SalespersonName],"Not found")</f>
        <v>Rachel Valdez</v>
      </c>
      <c r="M671" t="str">
        <f>IF(tblCategorySales[[#This Row],[SalespersonName]]=tblCategorySales[[#This Row],[ExpectedSalespersonName]],"Match","Mismatch")</f>
        <v>Match</v>
      </c>
    </row>
    <row r="672" spans="1:13" x14ac:dyDescent="0.3">
      <c r="A672">
        <v>288</v>
      </c>
      <c r="B672" t="s">
        <v>56</v>
      </c>
      <c r="C672" t="s">
        <v>57</v>
      </c>
      <c r="D672">
        <v>2014</v>
      </c>
      <c r="E672">
        <v>2</v>
      </c>
      <c r="F672">
        <v>3</v>
      </c>
      <c r="G672" t="s">
        <v>72</v>
      </c>
      <c r="H672">
        <v>9</v>
      </c>
      <c r="I672">
        <v>135</v>
      </c>
      <c r="J672">
        <v>4332.1270000000004</v>
      </c>
      <c r="K672" t="s">
        <v>63</v>
      </c>
      <c r="L672" t="str">
        <f>_xlfn.XLOOKUP(tblCategorySales[[#This Row],[SalesPersonID]],tblSalespersonSummary[SalesPersonID],tblSalespersonSummary[SalespersonName],"Not found")</f>
        <v>Rachel Valdez</v>
      </c>
      <c r="M672" t="str">
        <f>IF(tblCategorySales[[#This Row],[SalespersonName]]=tblCategorySales[[#This Row],[ExpectedSalespersonName]],"Match","Mismatch")</f>
        <v>Match</v>
      </c>
    </row>
    <row r="673" spans="1:13" x14ac:dyDescent="0.3">
      <c r="A673">
        <v>288</v>
      </c>
      <c r="B673" t="s">
        <v>56</v>
      </c>
      <c r="C673" t="s">
        <v>57</v>
      </c>
      <c r="D673">
        <v>2014</v>
      </c>
      <c r="E673">
        <v>2</v>
      </c>
      <c r="F673">
        <v>2</v>
      </c>
      <c r="G673" t="s">
        <v>73</v>
      </c>
      <c r="H673">
        <v>8</v>
      </c>
      <c r="I673">
        <v>113</v>
      </c>
      <c r="J673">
        <v>21987.504000000001</v>
      </c>
      <c r="K673" t="s">
        <v>63</v>
      </c>
      <c r="L673" t="str">
        <f>_xlfn.XLOOKUP(tblCategorySales[[#This Row],[SalesPersonID]],tblSalespersonSummary[SalesPersonID],tblSalespersonSummary[SalespersonName],"Not found")</f>
        <v>Rachel Valdez</v>
      </c>
      <c r="M673" t="str">
        <f>IF(tblCategorySales[[#This Row],[SalespersonName]]=tblCategorySales[[#This Row],[ExpectedSalespersonName]],"Match","Mismatch")</f>
        <v>Match</v>
      </c>
    </row>
    <row r="674" spans="1:13" x14ac:dyDescent="0.3">
      <c r="A674">
        <v>290</v>
      </c>
      <c r="B674" t="s">
        <v>46</v>
      </c>
      <c r="C674" t="s">
        <v>47</v>
      </c>
      <c r="D674">
        <v>2014</v>
      </c>
      <c r="E674">
        <v>2</v>
      </c>
      <c r="F674">
        <v>4</v>
      </c>
      <c r="G674" t="s">
        <v>70</v>
      </c>
      <c r="H674">
        <v>3</v>
      </c>
      <c r="I674">
        <v>92</v>
      </c>
      <c r="J674">
        <v>2200.233236</v>
      </c>
      <c r="K674" t="s">
        <v>63</v>
      </c>
      <c r="L674" t="str">
        <f>_xlfn.XLOOKUP(tblCategorySales[[#This Row],[SalesPersonID]],tblSalespersonSummary[SalesPersonID],tblSalespersonSummary[SalespersonName],"Not found")</f>
        <v>Ranjit Varkey Chudukatil</v>
      </c>
      <c r="M674" t="str">
        <f>IF(tblCategorySales[[#This Row],[SalespersonName]]=tblCategorySales[[#This Row],[ExpectedSalespersonName]],"Match","Mismatch")</f>
        <v>Match</v>
      </c>
    </row>
    <row r="675" spans="1:13" x14ac:dyDescent="0.3">
      <c r="A675">
        <v>290</v>
      </c>
      <c r="B675" t="s">
        <v>46</v>
      </c>
      <c r="C675" t="s">
        <v>47</v>
      </c>
      <c r="D675">
        <v>2014</v>
      </c>
      <c r="E675">
        <v>2</v>
      </c>
      <c r="F675">
        <v>1</v>
      </c>
      <c r="G675" t="s">
        <v>71</v>
      </c>
      <c r="H675">
        <v>6</v>
      </c>
      <c r="I675">
        <v>108</v>
      </c>
      <c r="J675">
        <v>91371.279351999998</v>
      </c>
      <c r="K675" t="s">
        <v>63</v>
      </c>
      <c r="L675" t="str">
        <f>_xlfn.XLOOKUP(tblCategorySales[[#This Row],[SalesPersonID]],tblSalespersonSummary[SalesPersonID],tblSalespersonSummary[SalespersonName],"Not found")</f>
        <v>Ranjit Varkey Chudukatil</v>
      </c>
      <c r="M675" t="str">
        <f>IF(tblCategorySales[[#This Row],[SalespersonName]]=tblCategorySales[[#This Row],[ExpectedSalespersonName]],"Match","Mismatch")</f>
        <v>Match</v>
      </c>
    </row>
    <row r="676" spans="1:13" x14ac:dyDescent="0.3">
      <c r="A676">
        <v>290</v>
      </c>
      <c r="B676" t="s">
        <v>46</v>
      </c>
      <c r="C676" t="s">
        <v>47</v>
      </c>
      <c r="D676">
        <v>2014</v>
      </c>
      <c r="E676">
        <v>2</v>
      </c>
      <c r="F676">
        <v>3</v>
      </c>
      <c r="G676" t="s">
        <v>72</v>
      </c>
      <c r="H676">
        <v>6</v>
      </c>
      <c r="I676">
        <v>137</v>
      </c>
      <c r="J676">
        <v>3680.534709</v>
      </c>
      <c r="K676" t="s">
        <v>63</v>
      </c>
      <c r="L676" t="str">
        <f>_xlfn.XLOOKUP(tblCategorySales[[#This Row],[SalesPersonID]],tblSalespersonSummary[SalesPersonID],tblSalespersonSummary[SalespersonName],"Not found")</f>
        <v>Ranjit Varkey Chudukatil</v>
      </c>
      <c r="M676" t="str">
        <f>IF(tblCategorySales[[#This Row],[SalespersonName]]=tblCategorySales[[#This Row],[ExpectedSalespersonName]],"Match","Mismatch")</f>
        <v>Match</v>
      </c>
    </row>
    <row r="677" spans="1:13" x14ac:dyDescent="0.3">
      <c r="A677">
        <v>290</v>
      </c>
      <c r="B677" t="s">
        <v>46</v>
      </c>
      <c r="C677" t="s">
        <v>47</v>
      </c>
      <c r="D677">
        <v>2014</v>
      </c>
      <c r="E677">
        <v>2</v>
      </c>
      <c r="F677">
        <v>2</v>
      </c>
      <c r="G677" t="s">
        <v>73</v>
      </c>
      <c r="H677">
        <v>5</v>
      </c>
      <c r="I677">
        <v>108</v>
      </c>
      <c r="J677">
        <v>21984.252</v>
      </c>
      <c r="K677" t="s">
        <v>63</v>
      </c>
      <c r="L677" t="str">
        <f>_xlfn.XLOOKUP(tblCategorySales[[#This Row],[SalesPersonID]],tblSalespersonSummary[SalesPersonID],tblSalespersonSummary[SalespersonName],"Not found")</f>
        <v>Ranjit Varkey Chudukatil</v>
      </c>
      <c r="M677" t="str">
        <f>IF(tblCategorySales[[#This Row],[SalespersonName]]=tblCategorySales[[#This Row],[ExpectedSalespersonName]],"Match","Mismatch")</f>
        <v>Match</v>
      </c>
    </row>
    <row r="678" spans="1:13" x14ac:dyDescent="0.3">
      <c r="A678">
        <v>281</v>
      </c>
      <c r="B678" t="s">
        <v>31</v>
      </c>
      <c r="C678" t="s">
        <v>27</v>
      </c>
      <c r="D678">
        <v>2014</v>
      </c>
      <c r="E678">
        <v>2</v>
      </c>
      <c r="F678">
        <v>4</v>
      </c>
      <c r="G678" t="s">
        <v>70</v>
      </c>
      <c r="H678">
        <v>4</v>
      </c>
      <c r="I678">
        <v>12</v>
      </c>
      <c r="J678">
        <v>404.286</v>
      </c>
      <c r="K678" t="s">
        <v>63</v>
      </c>
      <c r="L678" t="str">
        <f>_xlfn.XLOOKUP(tblCategorySales[[#This Row],[SalesPersonID]],tblSalespersonSummary[SalesPersonID],tblSalespersonSummary[SalespersonName],"Not found")</f>
        <v>Shu Ito</v>
      </c>
      <c r="M678" t="str">
        <f>IF(tblCategorySales[[#This Row],[SalespersonName]]=tblCategorySales[[#This Row],[ExpectedSalespersonName]],"Match","Mismatch")</f>
        <v>Match</v>
      </c>
    </row>
    <row r="679" spans="1:13" x14ac:dyDescent="0.3">
      <c r="A679">
        <v>281</v>
      </c>
      <c r="B679" t="s">
        <v>31</v>
      </c>
      <c r="C679" t="s">
        <v>27</v>
      </c>
      <c r="D679">
        <v>2014</v>
      </c>
      <c r="E679">
        <v>2</v>
      </c>
      <c r="F679">
        <v>1</v>
      </c>
      <c r="G679" t="s">
        <v>71</v>
      </c>
      <c r="H679">
        <v>9</v>
      </c>
      <c r="I679">
        <v>189</v>
      </c>
      <c r="J679">
        <v>171364.6692</v>
      </c>
      <c r="K679" t="s">
        <v>63</v>
      </c>
      <c r="L679" t="str">
        <f>_xlfn.XLOOKUP(tblCategorySales[[#This Row],[SalesPersonID]],tblSalespersonSummary[SalesPersonID],tblSalespersonSummary[SalespersonName],"Not found")</f>
        <v>Shu Ito</v>
      </c>
      <c r="M679" t="str">
        <f>IF(tblCategorySales[[#This Row],[SalespersonName]]=tblCategorySales[[#This Row],[ExpectedSalespersonName]],"Match","Mismatch")</f>
        <v>Match</v>
      </c>
    </row>
    <row r="680" spans="1:13" x14ac:dyDescent="0.3">
      <c r="A680">
        <v>281</v>
      </c>
      <c r="B680" t="s">
        <v>31</v>
      </c>
      <c r="C680" t="s">
        <v>27</v>
      </c>
      <c r="D680">
        <v>2014</v>
      </c>
      <c r="E680">
        <v>2</v>
      </c>
      <c r="F680">
        <v>3</v>
      </c>
      <c r="G680" t="s">
        <v>72</v>
      </c>
      <c r="H680">
        <v>7</v>
      </c>
      <c r="I680">
        <v>81</v>
      </c>
      <c r="J680">
        <v>2022.45</v>
      </c>
      <c r="K680" t="s">
        <v>63</v>
      </c>
      <c r="L680" t="str">
        <f>_xlfn.XLOOKUP(tblCategorySales[[#This Row],[SalesPersonID]],tblSalespersonSummary[SalesPersonID],tblSalespersonSummary[SalespersonName],"Not found")</f>
        <v>Shu Ito</v>
      </c>
      <c r="M680" t="str">
        <f>IF(tblCategorySales[[#This Row],[SalespersonName]]=tblCategorySales[[#This Row],[ExpectedSalespersonName]],"Match","Mismatch")</f>
        <v>Match</v>
      </c>
    </row>
    <row r="681" spans="1:13" x14ac:dyDescent="0.3">
      <c r="A681">
        <v>281</v>
      </c>
      <c r="B681" t="s">
        <v>31</v>
      </c>
      <c r="C681" t="s">
        <v>27</v>
      </c>
      <c r="D681">
        <v>2014</v>
      </c>
      <c r="E681">
        <v>2</v>
      </c>
      <c r="F681">
        <v>2</v>
      </c>
      <c r="G681" t="s">
        <v>73</v>
      </c>
      <c r="H681">
        <v>10</v>
      </c>
      <c r="I681">
        <v>172</v>
      </c>
      <c r="J681">
        <v>46333.77</v>
      </c>
      <c r="K681" t="s">
        <v>63</v>
      </c>
      <c r="L681" t="str">
        <f>_xlfn.XLOOKUP(tblCategorySales[[#This Row],[SalesPersonID]],tblSalespersonSummary[SalesPersonID],tblSalespersonSummary[SalespersonName],"Not found")</f>
        <v>Shu Ito</v>
      </c>
      <c r="M681" t="str">
        <f>IF(tblCategorySales[[#This Row],[SalespersonName]]=tblCategorySales[[#This Row],[ExpectedSalespersonName]],"Match","Mismatch")</f>
        <v>Match</v>
      </c>
    </row>
    <row r="682" spans="1:13" x14ac:dyDescent="0.3">
      <c r="A682">
        <v>274</v>
      </c>
      <c r="B682" t="s">
        <v>32</v>
      </c>
      <c r="C682" t="s">
        <v>33</v>
      </c>
      <c r="D682">
        <v>2014</v>
      </c>
      <c r="E682">
        <v>2</v>
      </c>
      <c r="F682">
        <v>4</v>
      </c>
      <c r="G682" t="s">
        <v>70</v>
      </c>
      <c r="H682">
        <v>1</v>
      </c>
      <c r="I682">
        <v>46</v>
      </c>
      <c r="J682">
        <v>1139.088</v>
      </c>
      <c r="K682" t="s">
        <v>63</v>
      </c>
      <c r="L682" t="str">
        <f>_xlfn.XLOOKUP(tblCategorySales[[#This Row],[SalesPersonID]],tblSalespersonSummary[SalesPersonID],tblSalespersonSummary[SalespersonName],"Not found")</f>
        <v>Stephen Jiang</v>
      </c>
      <c r="M682" t="str">
        <f>IF(tblCategorySales[[#This Row],[SalespersonName]]=tblCategorySales[[#This Row],[ExpectedSalespersonName]],"Match","Mismatch")</f>
        <v>Match</v>
      </c>
    </row>
    <row r="683" spans="1:13" x14ac:dyDescent="0.3">
      <c r="A683">
        <v>274</v>
      </c>
      <c r="B683" t="s">
        <v>32</v>
      </c>
      <c r="C683" t="s">
        <v>33</v>
      </c>
      <c r="D683">
        <v>2014</v>
      </c>
      <c r="E683">
        <v>2</v>
      </c>
      <c r="F683">
        <v>1</v>
      </c>
      <c r="G683" t="s">
        <v>71</v>
      </c>
      <c r="H683">
        <v>2</v>
      </c>
      <c r="I683">
        <v>47</v>
      </c>
      <c r="J683">
        <v>31384.745999999999</v>
      </c>
      <c r="K683" t="s">
        <v>63</v>
      </c>
      <c r="L683" t="str">
        <f>_xlfn.XLOOKUP(tblCategorySales[[#This Row],[SalesPersonID]],tblSalespersonSummary[SalesPersonID],tblSalespersonSummary[SalespersonName],"Not found")</f>
        <v>Stephen Jiang</v>
      </c>
      <c r="M683" t="str">
        <f>IF(tblCategorySales[[#This Row],[SalespersonName]]=tblCategorySales[[#This Row],[ExpectedSalespersonName]],"Match","Mismatch")</f>
        <v>Match</v>
      </c>
    </row>
    <row r="684" spans="1:13" x14ac:dyDescent="0.3">
      <c r="A684">
        <v>274</v>
      </c>
      <c r="B684" t="s">
        <v>32</v>
      </c>
      <c r="C684" t="s">
        <v>33</v>
      </c>
      <c r="D684">
        <v>2014</v>
      </c>
      <c r="E684">
        <v>2</v>
      </c>
      <c r="F684">
        <v>3</v>
      </c>
      <c r="G684" t="s">
        <v>72</v>
      </c>
      <c r="H684">
        <v>1</v>
      </c>
      <c r="I684">
        <v>30</v>
      </c>
      <c r="J684">
        <v>961.95</v>
      </c>
      <c r="K684" t="s">
        <v>63</v>
      </c>
      <c r="L684" t="str">
        <f>_xlfn.XLOOKUP(tblCategorySales[[#This Row],[SalesPersonID]],tblSalespersonSummary[SalesPersonID],tblSalespersonSummary[SalespersonName],"Not found")</f>
        <v>Stephen Jiang</v>
      </c>
      <c r="M684" t="str">
        <f>IF(tblCategorySales[[#This Row],[SalespersonName]]=tblCategorySales[[#This Row],[ExpectedSalespersonName]],"Match","Mismatch")</f>
        <v>Match</v>
      </c>
    </row>
    <row r="685" spans="1:13" x14ac:dyDescent="0.3">
      <c r="A685">
        <v>274</v>
      </c>
      <c r="B685" t="s">
        <v>32</v>
      </c>
      <c r="C685" t="s">
        <v>33</v>
      </c>
      <c r="D685">
        <v>2014</v>
      </c>
      <c r="E685">
        <v>2</v>
      </c>
      <c r="F685">
        <v>2</v>
      </c>
      <c r="G685" t="s">
        <v>73</v>
      </c>
      <c r="H685">
        <v>1</v>
      </c>
      <c r="I685">
        <v>19</v>
      </c>
      <c r="J685">
        <v>4167.1379999999999</v>
      </c>
      <c r="K685" t="s">
        <v>63</v>
      </c>
      <c r="L685" t="str">
        <f>_xlfn.XLOOKUP(tblCategorySales[[#This Row],[SalesPersonID]],tblSalespersonSummary[SalesPersonID],tblSalespersonSummary[SalespersonName],"Not found")</f>
        <v>Stephen Jiang</v>
      </c>
      <c r="M685" t="str">
        <f>IF(tblCategorySales[[#This Row],[SalespersonName]]=tblCategorySales[[#This Row],[ExpectedSalespersonName]],"Match","Mismatch")</f>
        <v>Match</v>
      </c>
    </row>
    <row r="686" spans="1:13" x14ac:dyDescent="0.3">
      <c r="A686">
        <v>285</v>
      </c>
      <c r="B686" t="s">
        <v>58</v>
      </c>
      <c r="C686" t="s">
        <v>33</v>
      </c>
      <c r="D686">
        <v>2014</v>
      </c>
      <c r="E686">
        <v>2</v>
      </c>
      <c r="F686">
        <v>1</v>
      </c>
      <c r="G686" t="s">
        <v>71</v>
      </c>
      <c r="H686">
        <v>2</v>
      </c>
      <c r="I686">
        <v>5</v>
      </c>
      <c r="J686">
        <v>4197.1139999999996</v>
      </c>
      <c r="K686" t="s">
        <v>63</v>
      </c>
      <c r="L686" t="str">
        <f>_xlfn.XLOOKUP(tblCategorySales[[#This Row],[SalesPersonID]],tblSalespersonSummary[SalesPersonID],tblSalespersonSummary[SalespersonName],"Not found")</f>
        <v>Syed Abbas</v>
      </c>
      <c r="M686" t="str">
        <f>IF(tblCategorySales[[#This Row],[SalespersonName]]=tblCategorySales[[#This Row],[ExpectedSalespersonName]],"Match","Mismatch")</f>
        <v>Match</v>
      </c>
    </row>
    <row r="687" spans="1:13" x14ac:dyDescent="0.3">
      <c r="A687">
        <v>284</v>
      </c>
      <c r="B687" t="s">
        <v>50</v>
      </c>
      <c r="C687" t="s">
        <v>16</v>
      </c>
      <c r="D687">
        <v>2014</v>
      </c>
      <c r="E687">
        <v>2</v>
      </c>
      <c r="F687">
        <v>4</v>
      </c>
      <c r="G687" t="s">
        <v>70</v>
      </c>
      <c r="H687">
        <v>4</v>
      </c>
      <c r="I687">
        <v>46</v>
      </c>
      <c r="J687">
        <v>1339.3440000000001</v>
      </c>
      <c r="K687" t="s">
        <v>63</v>
      </c>
      <c r="L687" t="str">
        <f>_xlfn.XLOOKUP(tblCategorySales[[#This Row],[SalesPersonID]],tblSalespersonSummary[SalesPersonID],tblSalespersonSummary[SalespersonName],"Not found")</f>
        <v>Tete Mensa-Annan</v>
      </c>
      <c r="M687" t="str">
        <f>IF(tblCategorySales[[#This Row],[SalespersonName]]=tblCategorySales[[#This Row],[ExpectedSalespersonName]],"Match","Mismatch")</f>
        <v>Match</v>
      </c>
    </row>
    <row r="688" spans="1:13" x14ac:dyDescent="0.3">
      <c r="A688">
        <v>284</v>
      </c>
      <c r="B688" t="s">
        <v>50</v>
      </c>
      <c r="C688" t="s">
        <v>16</v>
      </c>
      <c r="D688">
        <v>2014</v>
      </c>
      <c r="E688">
        <v>2</v>
      </c>
      <c r="F688">
        <v>1</v>
      </c>
      <c r="G688" t="s">
        <v>71</v>
      </c>
      <c r="H688">
        <v>9</v>
      </c>
      <c r="I688">
        <v>135</v>
      </c>
      <c r="J688">
        <v>117703.05959999999</v>
      </c>
      <c r="K688" t="s">
        <v>63</v>
      </c>
      <c r="L688" t="str">
        <f>_xlfn.XLOOKUP(tblCategorySales[[#This Row],[SalesPersonID]],tblSalespersonSummary[SalesPersonID],tblSalespersonSummary[SalespersonName],"Not found")</f>
        <v>Tete Mensa-Annan</v>
      </c>
      <c r="M688" t="str">
        <f>IF(tblCategorySales[[#This Row],[SalespersonName]]=tblCategorySales[[#This Row],[ExpectedSalespersonName]],"Match","Mismatch")</f>
        <v>Match</v>
      </c>
    </row>
    <row r="689" spans="1:13" x14ac:dyDescent="0.3">
      <c r="A689">
        <v>284</v>
      </c>
      <c r="B689" t="s">
        <v>50</v>
      </c>
      <c r="C689" t="s">
        <v>16</v>
      </c>
      <c r="D689">
        <v>2014</v>
      </c>
      <c r="E689">
        <v>2</v>
      </c>
      <c r="F689">
        <v>3</v>
      </c>
      <c r="G689" t="s">
        <v>72</v>
      </c>
      <c r="H689">
        <v>5</v>
      </c>
      <c r="I689">
        <v>107</v>
      </c>
      <c r="J689">
        <v>2889.8955080000001</v>
      </c>
      <c r="K689" t="s">
        <v>63</v>
      </c>
      <c r="L689" t="str">
        <f>_xlfn.XLOOKUP(tblCategorySales[[#This Row],[SalesPersonID]],tblSalespersonSummary[SalesPersonID],tblSalespersonSummary[SalespersonName],"Not found")</f>
        <v>Tete Mensa-Annan</v>
      </c>
      <c r="M689" t="str">
        <f>IF(tblCategorySales[[#This Row],[SalespersonName]]=tblCategorySales[[#This Row],[ExpectedSalespersonName]],"Match","Mismatch")</f>
        <v>Match</v>
      </c>
    </row>
    <row r="690" spans="1:13" x14ac:dyDescent="0.3">
      <c r="A690">
        <v>284</v>
      </c>
      <c r="B690" t="s">
        <v>50</v>
      </c>
      <c r="C690" t="s">
        <v>16</v>
      </c>
      <c r="D690">
        <v>2014</v>
      </c>
      <c r="E690">
        <v>2</v>
      </c>
      <c r="F690">
        <v>2</v>
      </c>
      <c r="G690" t="s">
        <v>73</v>
      </c>
      <c r="H690">
        <v>10</v>
      </c>
      <c r="I690">
        <v>89</v>
      </c>
      <c r="J690">
        <v>21450.696</v>
      </c>
      <c r="K690" t="s">
        <v>63</v>
      </c>
      <c r="L690" t="str">
        <f>_xlfn.XLOOKUP(tblCategorySales[[#This Row],[SalesPersonID]],tblSalespersonSummary[SalesPersonID],tblSalespersonSummary[SalespersonName],"Not found")</f>
        <v>Tete Mensa-Annan</v>
      </c>
      <c r="M690" t="str">
        <f>IF(tblCategorySales[[#This Row],[SalespersonName]]=tblCategorySales[[#This Row],[ExpectedSalespersonName]],"Match","Mismatch")</f>
        <v>Match</v>
      </c>
    </row>
    <row r="691" spans="1:13" x14ac:dyDescent="0.3">
      <c r="A691">
        <v>279</v>
      </c>
      <c r="B691" t="s">
        <v>34</v>
      </c>
      <c r="C691" t="s">
        <v>35</v>
      </c>
      <c r="D691">
        <v>2014</v>
      </c>
      <c r="E691">
        <v>2</v>
      </c>
      <c r="F691">
        <v>4</v>
      </c>
      <c r="G691" t="s">
        <v>70</v>
      </c>
      <c r="H691">
        <v>3</v>
      </c>
      <c r="I691">
        <v>80</v>
      </c>
      <c r="J691">
        <v>1705.8209039999999</v>
      </c>
      <c r="K691" t="s">
        <v>63</v>
      </c>
      <c r="L691" t="str">
        <f>_xlfn.XLOOKUP(tblCategorySales[[#This Row],[SalesPersonID]],tblSalespersonSummary[SalesPersonID],tblSalespersonSummary[SalespersonName],"Not found")</f>
        <v>Tsvi Reiter</v>
      </c>
      <c r="M691" t="str">
        <f>IF(tblCategorySales[[#This Row],[SalespersonName]]=tblCategorySales[[#This Row],[ExpectedSalespersonName]],"Match","Mismatch")</f>
        <v>Match</v>
      </c>
    </row>
    <row r="692" spans="1:13" x14ac:dyDescent="0.3">
      <c r="A692">
        <v>279</v>
      </c>
      <c r="B692" t="s">
        <v>34</v>
      </c>
      <c r="C692" t="s">
        <v>35</v>
      </c>
      <c r="D692">
        <v>2014</v>
      </c>
      <c r="E692">
        <v>2</v>
      </c>
      <c r="F692">
        <v>1</v>
      </c>
      <c r="G692" t="s">
        <v>71</v>
      </c>
      <c r="H692">
        <v>11</v>
      </c>
      <c r="I692">
        <v>218</v>
      </c>
      <c r="J692">
        <v>199213.848</v>
      </c>
      <c r="K692" t="s">
        <v>63</v>
      </c>
      <c r="L692" t="str">
        <f>_xlfn.XLOOKUP(tblCategorySales[[#This Row],[SalesPersonID]],tblSalespersonSummary[SalesPersonID],tblSalespersonSummary[SalespersonName],"Not found")</f>
        <v>Tsvi Reiter</v>
      </c>
      <c r="M692" t="str">
        <f>IF(tblCategorySales[[#This Row],[SalespersonName]]=tblCategorySales[[#This Row],[ExpectedSalespersonName]],"Match","Mismatch")</f>
        <v>Match</v>
      </c>
    </row>
    <row r="693" spans="1:13" x14ac:dyDescent="0.3">
      <c r="A693">
        <v>279</v>
      </c>
      <c r="B693" t="s">
        <v>34</v>
      </c>
      <c r="C693" t="s">
        <v>35</v>
      </c>
      <c r="D693">
        <v>2014</v>
      </c>
      <c r="E693">
        <v>2</v>
      </c>
      <c r="F693">
        <v>3</v>
      </c>
      <c r="G693" t="s">
        <v>72</v>
      </c>
      <c r="H693">
        <v>8</v>
      </c>
      <c r="I693">
        <v>132</v>
      </c>
      <c r="J693">
        <v>3489.2236480000001</v>
      </c>
      <c r="K693" t="s">
        <v>63</v>
      </c>
      <c r="L693" t="str">
        <f>_xlfn.XLOOKUP(tblCategorySales[[#This Row],[SalesPersonID]],tblSalespersonSummary[SalesPersonID],tblSalespersonSummary[SalespersonName],"Not found")</f>
        <v>Tsvi Reiter</v>
      </c>
      <c r="M693" t="str">
        <f>IF(tblCategorySales[[#This Row],[SalespersonName]]=tblCategorySales[[#This Row],[ExpectedSalespersonName]],"Match","Mismatch")</f>
        <v>Match</v>
      </c>
    </row>
    <row r="694" spans="1:13" x14ac:dyDescent="0.3">
      <c r="A694">
        <v>279</v>
      </c>
      <c r="B694" t="s">
        <v>34</v>
      </c>
      <c r="C694" t="s">
        <v>35</v>
      </c>
      <c r="D694">
        <v>2014</v>
      </c>
      <c r="E694">
        <v>2</v>
      </c>
      <c r="F694">
        <v>2</v>
      </c>
      <c r="G694" t="s">
        <v>73</v>
      </c>
      <c r="H694">
        <v>9</v>
      </c>
      <c r="I694">
        <v>102</v>
      </c>
      <c r="J694">
        <v>28482.972000000002</v>
      </c>
      <c r="K694" t="s">
        <v>63</v>
      </c>
      <c r="L694" t="str">
        <f>_xlfn.XLOOKUP(tblCategorySales[[#This Row],[SalesPersonID]],tblSalespersonSummary[SalesPersonID],tblSalespersonSummary[SalespersonName],"Not found")</f>
        <v>Tsvi Reiter</v>
      </c>
      <c r="M694" t="str">
        <f>IF(tblCategorySales[[#This Row],[SalespersonName]]=tblCategorySales[[#This Row],[ExpectedSalespersonName]],"Match","Mismatch")</f>
        <v>Match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5365B-D49A-4C35-BC12-8BC6C1EEBD89}">
  <dimension ref="A1:O180"/>
  <sheetViews>
    <sheetView topLeftCell="A2" workbookViewId="0">
      <selection activeCell="C12" sqref="C12"/>
    </sheetView>
  </sheetViews>
  <sheetFormatPr defaultRowHeight="14.4" x14ac:dyDescent="0.3"/>
  <cols>
    <col min="1" max="1" width="15" bestFit="1" customWidth="1"/>
    <col min="2" max="2" width="20.88671875" bestFit="1" customWidth="1"/>
    <col min="3" max="3" width="18" bestFit="1" customWidth="1"/>
    <col min="4" max="4" width="11.109375" bestFit="1" customWidth="1"/>
    <col min="5" max="5" width="13.88671875" bestFit="1" customWidth="1"/>
    <col min="6" max="6" width="21.77734375" bestFit="1" customWidth="1"/>
    <col min="7" max="7" width="12.77734375" bestFit="1" customWidth="1"/>
    <col min="8" max="8" width="12.6640625" bestFit="1" customWidth="1"/>
    <col min="9" max="9" width="15.77734375" bestFit="1" customWidth="1"/>
    <col min="10" max="10" width="15.88671875" bestFit="1" customWidth="1"/>
    <col min="11" max="11" width="15.5546875" bestFit="1" customWidth="1"/>
    <col min="12" max="12" width="13.109375" bestFit="1" customWidth="1"/>
    <col min="13" max="13" width="16.77734375" bestFit="1" customWidth="1"/>
    <col min="14" max="14" width="20.44140625" bestFit="1" customWidth="1"/>
    <col min="15" max="15" width="24.55468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283</v>
      </c>
      <c r="B2" t="s">
        <v>15</v>
      </c>
      <c r="C2" t="s">
        <v>16</v>
      </c>
      <c r="D2">
        <v>2011</v>
      </c>
      <c r="E2">
        <v>2</v>
      </c>
      <c r="F2" t="s">
        <v>17</v>
      </c>
      <c r="G2">
        <v>69472.996299999999</v>
      </c>
      <c r="H2">
        <v>226000</v>
      </c>
      <c r="I2" t="s">
        <v>18</v>
      </c>
      <c r="J2" t="s">
        <v>18</v>
      </c>
      <c r="K2" t="s">
        <v>18</v>
      </c>
      <c r="L2">
        <v>5</v>
      </c>
      <c r="M2" t="s">
        <v>19</v>
      </c>
      <c r="N2">
        <v>0</v>
      </c>
      <c r="O2" t="s">
        <v>20</v>
      </c>
    </row>
    <row r="3" spans="1:15" x14ac:dyDescent="0.3">
      <c r="A3">
        <v>278</v>
      </c>
      <c r="B3" t="s">
        <v>21</v>
      </c>
      <c r="C3" t="s">
        <v>22</v>
      </c>
      <c r="D3">
        <v>2011</v>
      </c>
      <c r="E3">
        <v>2</v>
      </c>
      <c r="F3" t="s">
        <v>17</v>
      </c>
      <c r="G3">
        <v>9109.1682999999994</v>
      </c>
      <c r="H3">
        <v>244000</v>
      </c>
      <c r="I3" t="s">
        <v>18</v>
      </c>
      <c r="J3" t="s">
        <v>18</v>
      </c>
      <c r="K3" t="s">
        <v>18</v>
      </c>
      <c r="L3">
        <v>2</v>
      </c>
      <c r="M3" t="s">
        <v>19</v>
      </c>
      <c r="N3">
        <v>0</v>
      </c>
      <c r="O3" t="s">
        <v>20</v>
      </c>
    </row>
    <row r="4" spans="1:15" x14ac:dyDescent="0.3">
      <c r="A4">
        <v>277</v>
      </c>
      <c r="B4" t="s">
        <v>23</v>
      </c>
      <c r="C4" t="s">
        <v>24</v>
      </c>
      <c r="D4">
        <v>2011</v>
      </c>
      <c r="E4">
        <v>2</v>
      </c>
      <c r="F4" t="s">
        <v>17</v>
      </c>
      <c r="G4">
        <v>46695.556400000001</v>
      </c>
      <c r="H4">
        <v>565000</v>
      </c>
      <c r="I4" t="s">
        <v>18</v>
      </c>
      <c r="J4" t="s">
        <v>18</v>
      </c>
      <c r="K4" t="s">
        <v>18</v>
      </c>
      <c r="L4">
        <v>4</v>
      </c>
      <c r="M4" t="s">
        <v>19</v>
      </c>
      <c r="N4">
        <v>0</v>
      </c>
      <c r="O4" t="s">
        <v>20</v>
      </c>
    </row>
    <row r="5" spans="1:15" x14ac:dyDescent="0.3">
      <c r="A5">
        <v>282</v>
      </c>
      <c r="B5" t="s">
        <v>25</v>
      </c>
      <c r="C5" t="s">
        <v>22</v>
      </c>
      <c r="D5">
        <v>2011</v>
      </c>
      <c r="E5">
        <v>2</v>
      </c>
      <c r="F5" t="s">
        <v>17</v>
      </c>
      <c r="G5">
        <v>106251.7277</v>
      </c>
      <c r="H5">
        <v>525000</v>
      </c>
      <c r="I5" t="s">
        <v>18</v>
      </c>
      <c r="J5" t="s">
        <v>18</v>
      </c>
      <c r="K5" t="s">
        <v>18</v>
      </c>
      <c r="L5">
        <v>5</v>
      </c>
      <c r="M5" t="s">
        <v>19</v>
      </c>
      <c r="N5">
        <v>0</v>
      </c>
      <c r="O5" t="s">
        <v>20</v>
      </c>
    </row>
    <row r="6" spans="1:15" x14ac:dyDescent="0.3">
      <c r="A6">
        <v>276</v>
      </c>
      <c r="B6" t="s">
        <v>26</v>
      </c>
      <c r="C6" t="s">
        <v>27</v>
      </c>
      <c r="D6">
        <v>2011</v>
      </c>
      <c r="E6">
        <v>2</v>
      </c>
      <c r="F6" t="s">
        <v>17</v>
      </c>
      <c r="G6">
        <v>5475.9485000000004</v>
      </c>
      <c r="H6">
        <v>637000</v>
      </c>
      <c r="I6" t="s">
        <v>18</v>
      </c>
      <c r="J6" t="s">
        <v>18</v>
      </c>
      <c r="K6" t="s">
        <v>18</v>
      </c>
      <c r="L6">
        <v>2</v>
      </c>
      <c r="M6" t="s">
        <v>19</v>
      </c>
      <c r="N6">
        <v>0</v>
      </c>
      <c r="O6" t="s">
        <v>20</v>
      </c>
    </row>
    <row r="7" spans="1:15" x14ac:dyDescent="0.3">
      <c r="A7">
        <v>275</v>
      </c>
      <c r="B7" t="s">
        <v>28</v>
      </c>
      <c r="C7" t="s">
        <v>29</v>
      </c>
      <c r="D7">
        <v>2011</v>
      </c>
      <c r="E7">
        <v>2</v>
      </c>
      <c r="F7" t="s">
        <v>17</v>
      </c>
      <c r="G7">
        <v>63762.9228</v>
      </c>
      <c r="H7">
        <v>367000</v>
      </c>
      <c r="I7" t="s">
        <v>18</v>
      </c>
      <c r="J7" t="s">
        <v>18</v>
      </c>
      <c r="K7" t="s">
        <v>18</v>
      </c>
      <c r="L7">
        <v>8</v>
      </c>
      <c r="M7" t="s">
        <v>19</v>
      </c>
      <c r="N7">
        <v>0</v>
      </c>
      <c r="O7" t="s">
        <v>20</v>
      </c>
    </row>
    <row r="8" spans="1:15" x14ac:dyDescent="0.3">
      <c r="A8">
        <v>280</v>
      </c>
      <c r="B8" t="s">
        <v>30</v>
      </c>
      <c r="C8" t="s">
        <v>16</v>
      </c>
      <c r="D8">
        <v>2011</v>
      </c>
      <c r="E8">
        <v>2</v>
      </c>
      <c r="F8" t="s">
        <v>17</v>
      </c>
      <c r="G8">
        <v>24432.608800000002</v>
      </c>
      <c r="H8">
        <v>165000</v>
      </c>
      <c r="I8" t="s">
        <v>18</v>
      </c>
      <c r="J8" t="s">
        <v>18</v>
      </c>
      <c r="K8" t="s">
        <v>18</v>
      </c>
      <c r="L8">
        <v>1</v>
      </c>
      <c r="M8" t="s">
        <v>19</v>
      </c>
      <c r="N8">
        <v>0</v>
      </c>
      <c r="O8" t="s">
        <v>20</v>
      </c>
    </row>
    <row r="9" spans="1:15" x14ac:dyDescent="0.3">
      <c r="A9">
        <v>281</v>
      </c>
      <c r="B9" t="s">
        <v>31</v>
      </c>
      <c r="C9" t="s">
        <v>27</v>
      </c>
      <c r="D9">
        <v>2011</v>
      </c>
      <c r="E9">
        <v>2</v>
      </c>
      <c r="F9" t="s">
        <v>17</v>
      </c>
      <c r="G9">
        <v>59708.320800000001</v>
      </c>
      <c r="H9">
        <v>460000</v>
      </c>
      <c r="I9" t="s">
        <v>18</v>
      </c>
      <c r="J9" t="s">
        <v>18</v>
      </c>
      <c r="K9" t="s">
        <v>18</v>
      </c>
      <c r="L9">
        <v>3</v>
      </c>
      <c r="M9" t="s">
        <v>19</v>
      </c>
      <c r="N9">
        <v>0</v>
      </c>
      <c r="O9" t="s">
        <v>20</v>
      </c>
    </row>
    <row r="10" spans="1:15" x14ac:dyDescent="0.3">
      <c r="A10">
        <v>274</v>
      </c>
      <c r="B10" t="s">
        <v>32</v>
      </c>
      <c r="C10" t="s">
        <v>33</v>
      </c>
      <c r="D10">
        <v>2011</v>
      </c>
      <c r="E10">
        <v>2</v>
      </c>
      <c r="F10" t="s">
        <v>17</v>
      </c>
      <c r="G10">
        <v>0</v>
      </c>
      <c r="H10">
        <v>28000</v>
      </c>
      <c r="I10" t="s">
        <v>18</v>
      </c>
      <c r="J10" t="s">
        <v>18</v>
      </c>
      <c r="K10" t="s">
        <v>18</v>
      </c>
      <c r="L10">
        <v>0</v>
      </c>
      <c r="M10" t="s">
        <v>19</v>
      </c>
      <c r="N10">
        <v>0</v>
      </c>
      <c r="O10" t="s">
        <v>20</v>
      </c>
    </row>
    <row r="11" spans="1:15" x14ac:dyDescent="0.3">
      <c r="A11">
        <v>279</v>
      </c>
      <c r="B11" t="s">
        <v>34</v>
      </c>
      <c r="C11" t="s">
        <v>35</v>
      </c>
      <c r="D11">
        <v>2011</v>
      </c>
      <c r="E11">
        <v>2</v>
      </c>
      <c r="F11" t="s">
        <v>17</v>
      </c>
      <c r="G11">
        <v>104419.3291</v>
      </c>
      <c r="H11">
        <v>669000</v>
      </c>
      <c r="I11" t="s">
        <v>18</v>
      </c>
      <c r="J11" t="s">
        <v>18</v>
      </c>
      <c r="K11" t="s">
        <v>18</v>
      </c>
      <c r="L11">
        <v>8</v>
      </c>
      <c r="M11" t="s">
        <v>19</v>
      </c>
      <c r="N11">
        <v>0</v>
      </c>
      <c r="O11" t="s">
        <v>20</v>
      </c>
    </row>
    <row r="12" spans="1:15" x14ac:dyDescent="0.3">
      <c r="A12">
        <v>283</v>
      </c>
      <c r="B12" t="s">
        <v>15</v>
      </c>
      <c r="C12" t="s">
        <v>16</v>
      </c>
      <c r="D12">
        <v>2011</v>
      </c>
      <c r="E12">
        <v>3</v>
      </c>
      <c r="F12" t="s">
        <v>36</v>
      </c>
      <c r="G12">
        <v>240723.05655000001</v>
      </c>
      <c r="H12">
        <v>353000</v>
      </c>
      <c r="I12">
        <v>226000</v>
      </c>
      <c r="J12">
        <v>-112276.94345000001</v>
      </c>
      <c r="K12">
        <v>68.1935</v>
      </c>
      <c r="L12">
        <v>10</v>
      </c>
      <c r="M12" t="s">
        <v>37</v>
      </c>
      <c r="N12">
        <v>1</v>
      </c>
      <c r="O12" t="s">
        <v>38</v>
      </c>
    </row>
    <row r="13" spans="1:15" x14ac:dyDescent="0.3">
      <c r="A13">
        <v>278</v>
      </c>
      <c r="B13" t="s">
        <v>21</v>
      </c>
      <c r="C13" t="s">
        <v>22</v>
      </c>
      <c r="D13">
        <v>2011</v>
      </c>
      <c r="E13">
        <v>3</v>
      </c>
      <c r="F13" t="s">
        <v>36</v>
      </c>
      <c r="G13">
        <v>233695.66639999999</v>
      </c>
      <c r="H13">
        <v>356000</v>
      </c>
      <c r="I13">
        <v>244000</v>
      </c>
      <c r="J13">
        <v>-122304.3336</v>
      </c>
      <c r="K13">
        <v>65.644850000000005</v>
      </c>
      <c r="L13">
        <v>13</v>
      </c>
      <c r="M13" t="s">
        <v>37</v>
      </c>
      <c r="N13">
        <v>1</v>
      </c>
      <c r="O13" t="s">
        <v>38</v>
      </c>
    </row>
    <row r="14" spans="1:15" x14ac:dyDescent="0.3">
      <c r="A14">
        <v>277</v>
      </c>
      <c r="B14" t="s">
        <v>23</v>
      </c>
      <c r="C14" t="s">
        <v>24</v>
      </c>
      <c r="D14">
        <v>2011</v>
      </c>
      <c r="E14">
        <v>3</v>
      </c>
      <c r="F14" t="s">
        <v>36</v>
      </c>
      <c r="G14">
        <v>501750.77957399999</v>
      </c>
      <c r="H14">
        <v>872000</v>
      </c>
      <c r="I14">
        <v>565000</v>
      </c>
      <c r="J14">
        <v>-370249.22042600001</v>
      </c>
      <c r="K14">
        <v>57.540227000000002</v>
      </c>
      <c r="L14">
        <v>26</v>
      </c>
      <c r="M14" t="s">
        <v>37</v>
      </c>
      <c r="N14">
        <v>1</v>
      </c>
      <c r="O14" t="s">
        <v>38</v>
      </c>
    </row>
    <row r="15" spans="1:15" x14ac:dyDescent="0.3">
      <c r="A15">
        <v>282</v>
      </c>
      <c r="B15" t="s">
        <v>25</v>
      </c>
      <c r="C15" t="s">
        <v>22</v>
      </c>
      <c r="D15">
        <v>2011</v>
      </c>
      <c r="E15">
        <v>3</v>
      </c>
      <c r="F15" t="s">
        <v>36</v>
      </c>
      <c r="G15">
        <v>521793.53958400001</v>
      </c>
      <c r="H15">
        <v>767000</v>
      </c>
      <c r="I15">
        <v>525000</v>
      </c>
      <c r="J15">
        <v>-245206.46041599999</v>
      </c>
      <c r="K15">
        <v>68.030448000000007</v>
      </c>
      <c r="L15">
        <v>26</v>
      </c>
      <c r="M15" t="s">
        <v>37</v>
      </c>
      <c r="N15">
        <v>1</v>
      </c>
      <c r="O15" t="s">
        <v>38</v>
      </c>
    </row>
    <row r="16" spans="1:15" x14ac:dyDescent="0.3">
      <c r="A16">
        <v>276</v>
      </c>
      <c r="B16" t="s">
        <v>26</v>
      </c>
      <c r="C16" t="s">
        <v>27</v>
      </c>
      <c r="D16">
        <v>2011</v>
      </c>
      <c r="E16">
        <v>3</v>
      </c>
      <c r="F16" t="s">
        <v>36</v>
      </c>
      <c r="G16">
        <v>459539.3567</v>
      </c>
      <c r="H16">
        <v>781000</v>
      </c>
      <c r="I16">
        <v>637000</v>
      </c>
      <c r="J16">
        <v>-321460.6433</v>
      </c>
      <c r="K16">
        <v>58.839866000000001</v>
      </c>
      <c r="L16">
        <v>19</v>
      </c>
      <c r="M16" t="s">
        <v>37</v>
      </c>
      <c r="N16">
        <v>1</v>
      </c>
      <c r="O16" t="s">
        <v>38</v>
      </c>
    </row>
    <row r="17" spans="1:15" x14ac:dyDescent="0.3">
      <c r="A17">
        <v>275</v>
      </c>
      <c r="B17" t="s">
        <v>28</v>
      </c>
      <c r="C17" t="s">
        <v>29</v>
      </c>
      <c r="D17">
        <v>2011</v>
      </c>
      <c r="E17">
        <v>3</v>
      </c>
      <c r="F17" t="s">
        <v>36</v>
      </c>
      <c r="G17">
        <v>348807.30530000001</v>
      </c>
      <c r="H17">
        <v>556000</v>
      </c>
      <c r="I17">
        <v>367000</v>
      </c>
      <c r="J17">
        <v>-207192.69469999999</v>
      </c>
      <c r="K17">
        <v>62.735126000000001</v>
      </c>
      <c r="L17">
        <v>28</v>
      </c>
      <c r="M17" t="s">
        <v>37</v>
      </c>
      <c r="N17">
        <v>1</v>
      </c>
      <c r="O17" t="s">
        <v>38</v>
      </c>
    </row>
    <row r="18" spans="1:15" x14ac:dyDescent="0.3">
      <c r="A18">
        <v>280</v>
      </c>
      <c r="B18" t="s">
        <v>30</v>
      </c>
      <c r="C18" t="s">
        <v>16</v>
      </c>
      <c r="D18">
        <v>2011</v>
      </c>
      <c r="E18">
        <v>3</v>
      </c>
      <c r="F18" t="s">
        <v>36</v>
      </c>
      <c r="G18">
        <v>224635.62090000001</v>
      </c>
      <c r="H18">
        <v>469000</v>
      </c>
      <c r="I18">
        <v>165000</v>
      </c>
      <c r="J18">
        <v>-244364.37909999999</v>
      </c>
      <c r="K18">
        <v>47.896720000000002</v>
      </c>
      <c r="L18">
        <v>9</v>
      </c>
      <c r="M18" t="s">
        <v>37</v>
      </c>
      <c r="N18">
        <v>1</v>
      </c>
      <c r="O18" t="s">
        <v>38</v>
      </c>
    </row>
    <row r="19" spans="1:15" x14ac:dyDescent="0.3">
      <c r="A19">
        <v>281</v>
      </c>
      <c r="B19" t="s">
        <v>31</v>
      </c>
      <c r="C19" t="s">
        <v>27</v>
      </c>
      <c r="D19">
        <v>2011</v>
      </c>
      <c r="E19">
        <v>3</v>
      </c>
      <c r="F19" t="s">
        <v>36</v>
      </c>
      <c r="G19">
        <v>416163.17257599998</v>
      </c>
      <c r="H19">
        <v>549000</v>
      </c>
      <c r="I19">
        <v>460000</v>
      </c>
      <c r="J19">
        <v>-132836.82742399999</v>
      </c>
      <c r="K19">
        <v>75.803855999999996</v>
      </c>
      <c r="L19">
        <v>15</v>
      </c>
      <c r="M19" t="s">
        <v>37</v>
      </c>
      <c r="N19">
        <v>1</v>
      </c>
      <c r="O19" t="s">
        <v>38</v>
      </c>
    </row>
    <row r="20" spans="1:15" x14ac:dyDescent="0.3">
      <c r="A20">
        <v>274</v>
      </c>
      <c r="B20" t="s">
        <v>32</v>
      </c>
      <c r="C20" t="s">
        <v>33</v>
      </c>
      <c r="D20">
        <v>2011</v>
      </c>
      <c r="E20">
        <v>3</v>
      </c>
      <c r="F20" t="s">
        <v>36</v>
      </c>
      <c r="G20">
        <v>22584.695500000002</v>
      </c>
      <c r="H20">
        <v>7000</v>
      </c>
      <c r="I20">
        <v>28000</v>
      </c>
      <c r="J20">
        <v>15584.6955</v>
      </c>
      <c r="K20">
        <v>322.638507</v>
      </c>
      <c r="L20">
        <v>2</v>
      </c>
      <c r="M20" t="s">
        <v>37</v>
      </c>
      <c r="N20">
        <v>1</v>
      </c>
      <c r="O20" t="s">
        <v>38</v>
      </c>
    </row>
    <row r="21" spans="1:15" x14ac:dyDescent="0.3">
      <c r="A21">
        <v>279</v>
      </c>
      <c r="B21" t="s">
        <v>34</v>
      </c>
      <c r="C21" t="s">
        <v>35</v>
      </c>
      <c r="D21">
        <v>2011</v>
      </c>
      <c r="E21">
        <v>3</v>
      </c>
      <c r="F21" t="s">
        <v>36</v>
      </c>
      <c r="G21">
        <v>579333.19310000003</v>
      </c>
      <c r="H21">
        <v>917000</v>
      </c>
      <c r="I21">
        <v>669000</v>
      </c>
      <c r="J21">
        <v>-337666.80690000003</v>
      </c>
      <c r="K21">
        <v>63.177011</v>
      </c>
      <c r="L21">
        <v>27</v>
      </c>
      <c r="M21" t="s">
        <v>37</v>
      </c>
      <c r="N21">
        <v>1</v>
      </c>
      <c r="O21" t="s">
        <v>38</v>
      </c>
    </row>
    <row r="22" spans="1:15" x14ac:dyDescent="0.3">
      <c r="A22">
        <v>283</v>
      </c>
      <c r="B22" t="s">
        <v>15</v>
      </c>
      <c r="C22" t="s">
        <v>16</v>
      </c>
      <c r="D22">
        <v>2011</v>
      </c>
      <c r="E22">
        <v>4</v>
      </c>
      <c r="F22" t="s">
        <v>39</v>
      </c>
      <c r="G22">
        <v>289791.89150000003</v>
      </c>
      <c r="H22">
        <v>280000</v>
      </c>
      <c r="I22">
        <v>353000</v>
      </c>
      <c r="J22">
        <v>9791.8914999999997</v>
      </c>
      <c r="K22">
        <v>103.49710399999999</v>
      </c>
      <c r="L22">
        <v>13</v>
      </c>
      <c r="M22" t="s">
        <v>37</v>
      </c>
      <c r="N22">
        <v>1</v>
      </c>
      <c r="O22" t="s">
        <v>38</v>
      </c>
    </row>
    <row r="23" spans="1:15" x14ac:dyDescent="0.3">
      <c r="A23">
        <v>278</v>
      </c>
      <c r="B23" t="s">
        <v>21</v>
      </c>
      <c r="C23" t="s">
        <v>22</v>
      </c>
      <c r="D23">
        <v>2011</v>
      </c>
      <c r="E23">
        <v>4</v>
      </c>
      <c r="F23" t="s">
        <v>39</v>
      </c>
      <c r="G23">
        <v>257286.98550000001</v>
      </c>
      <c r="H23">
        <v>266000</v>
      </c>
      <c r="I23">
        <v>356000</v>
      </c>
      <c r="J23">
        <v>-8713.0144999999993</v>
      </c>
      <c r="K23">
        <v>96.724429999999998</v>
      </c>
      <c r="L23">
        <v>15</v>
      </c>
      <c r="M23" t="s">
        <v>37</v>
      </c>
      <c r="N23">
        <v>1</v>
      </c>
      <c r="O23" t="s">
        <v>38</v>
      </c>
    </row>
    <row r="24" spans="1:15" x14ac:dyDescent="0.3">
      <c r="A24">
        <v>277</v>
      </c>
      <c r="B24" t="s">
        <v>23</v>
      </c>
      <c r="C24" t="s">
        <v>24</v>
      </c>
      <c r="D24">
        <v>2011</v>
      </c>
      <c r="E24">
        <v>4</v>
      </c>
      <c r="F24" t="s">
        <v>39</v>
      </c>
      <c r="G24">
        <v>763180.95587199996</v>
      </c>
      <c r="H24">
        <v>846000</v>
      </c>
      <c r="I24">
        <v>872000</v>
      </c>
      <c r="J24">
        <v>-82819.044127999994</v>
      </c>
      <c r="K24">
        <v>90.210514000000003</v>
      </c>
      <c r="L24">
        <v>29</v>
      </c>
      <c r="M24" t="s">
        <v>37</v>
      </c>
      <c r="N24">
        <v>1</v>
      </c>
      <c r="O24" t="s">
        <v>38</v>
      </c>
    </row>
    <row r="25" spans="1:15" x14ac:dyDescent="0.3">
      <c r="A25">
        <v>282</v>
      </c>
      <c r="B25" t="s">
        <v>25</v>
      </c>
      <c r="C25" t="s">
        <v>22</v>
      </c>
      <c r="D25">
        <v>2011</v>
      </c>
      <c r="E25">
        <v>4</v>
      </c>
      <c r="F25" t="s">
        <v>39</v>
      </c>
      <c r="G25">
        <v>546962.20804000006</v>
      </c>
      <c r="H25">
        <v>583000</v>
      </c>
      <c r="I25">
        <v>767000</v>
      </c>
      <c r="J25">
        <v>-36037.791960000002</v>
      </c>
      <c r="K25">
        <v>93.818560000000005</v>
      </c>
      <c r="L25">
        <v>25</v>
      </c>
      <c r="M25" t="s">
        <v>37</v>
      </c>
      <c r="N25">
        <v>1</v>
      </c>
      <c r="O25" t="s">
        <v>38</v>
      </c>
    </row>
    <row r="26" spans="1:15" x14ac:dyDescent="0.3">
      <c r="A26">
        <v>276</v>
      </c>
      <c r="B26" t="s">
        <v>26</v>
      </c>
      <c r="C26" t="s">
        <v>27</v>
      </c>
      <c r="D26">
        <v>2011</v>
      </c>
      <c r="E26">
        <v>4</v>
      </c>
      <c r="F26" t="s">
        <v>39</v>
      </c>
      <c r="G26">
        <v>684700.02009999997</v>
      </c>
      <c r="H26">
        <v>665000</v>
      </c>
      <c r="I26">
        <v>781000</v>
      </c>
      <c r="J26">
        <v>19700.020100000002</v>
      </c>
      <c r="K26">
        <v>102.96240899999999</v>
      </c>
      <c r="L26">
        <v>25</v>
      </c>
      <c r="M26" t="s">
        <v>37</v>
      </c>
      <c r="N26">
        <v>1</v>
      </c>
      <c r="O26" t="s">
        <v>38</v>
      </c>
    </row>
    <row r="27" spans="1:15" x14ac:dyDescent="0.3">
      <c r="A27">
        <v>275</v>
      </c>
      <c r="B27" t="s">
        <v>28</v>
      </c>
      <c r="C27" t="s">
        <v>29</v>
      </c>
      <c r="D27">
        <v>2011</v>
      </c>
      <c r="E27">
        <v>4</v>
      </c>
      <c r="F27" t="s">
        <v>39</v>
      </c>
      <c r="G27">
        <v>463253.60373999999</v>
      </c>
      <c r="H27">
        <v>502000</v>
      </c>
      <c r="I27">
        <v>556000</v>
      </c>
      <c r="J27">
        <v>-38746.396260000001</v>
      </c>
      <c r="K27">
        <v>92.281593999999998</v>
      </c>
      <c r="L27">
        <v>29</v>
      </c>
      <c r="M27" t="s">
        <v>37</v>
      </c>
      <c r="N27">
        <v>1</v>
      </c>
      <c r="O27" t="s">
        <v>38</v>
      </c>
    </row>
    <row r="28" spans="1:15" x14ac:dyDescent="0.3">
      <c r="A28">
        <v>280</v>
      </c>
      <c r="B28" t="s">
        <v>30</v>
      </c>
      <c r="C28" t="s">
        <v>16</v>
      </c>
      <c r="D28">
        <v>2011</v>
      </c>
      <c r="E28">
        <v>4</v>
      </c>
      <c r="F28" t="s">
        <v>39</v>
      </c>
      <c r="G28">
        <v>399417.35649999999</v>
      </c>
      <c r="H28">
        <v>264000</v>
      </c>
      <c r="I28">
        <v>469000</v>
      </c>
      <c r="J28">
        <v>135417.35649999999</v>
      </c>
      <c r="K28">
        <v>151.294453</v>
      </c>
      <c r="L28">
        <v>12</v>
      </c>
      <c r="M28" t="s">
        <v>37</v>
      </c>
      <c r="N28">
        <v>1</v>
      </c>
      <c r="O28" t="s">
        <v>38</v>
      </c>
    </row>
    <row r="29" spans="1:15" x14ac:dyDescent="0.3">
      <c r="A29">
        <v>281</v>
      </c>
      <c r="B29" t="s">
        <v>31</v>
      </c>
      <c r="C29" t="s">
        <v>27</v>
      </c>
      <c r="D29">
        <v>2011</v>
      </c>
      <c r="E29">
        <v>4</v>
      </c>
      <c r="F29" t="s">
        <v>39</v>
      </c>
      <c r="G29">
        <v>491725.79655000003</v>
      </c>
      <c r="H29">
        <v>473000</v>
      </c>
      <c r="I29">
        <v>549000</v>
      </c>
      <c r="J29">
        <v>18725.796549999999</v>
      </c>
      <c r="K29">
        <v>103.95894199999999</v>
      </c>
      <c r="L29">
        <v>15</v>
      </c>
      <c r="M29" t="s">
        <v>37</v>
      </c>
      <c r="N29">
        <v>1</v>
      </c>
      <c r="O29" t="s">
        <v>38</v>
      </c>
    </row>
    <row r="30" spans="1:15" x14ac:dyDescent="0.3">
      <c r="A30">
        <v>274</v>
      </c>
      <c r="B30" t="s">
        <v>32</v>
      </c>
      <c r="C30" t="s">
        <v>33</v>
      </c>
      <c r="D30">
        <v>2011</v>
      </c>
      <c r="E30">
        <v>4</v>
      </c>
      <c r="F30" t="s">
        <v>39</v>
      </c>
      <c r="G30">
        <v>6341.5510000000004</v>
      </c>
      <c r="H30">
        <v>91000</v>
      </c>
      <c r="I30">
        <v>7000</v>
      </c>
      <c r="J30">
        <v>-84658.448999999993</v>
      </c>
      <c r="K30">
        <v>6.968737</v>
      </c>
      <c r="L30">
        <v>2</v>
      </c>
      <c r="M30" t="s">
        <v>37</v>
      </c>
      <c r="N30">
        <v>1</v>
      </c>
      <c r="O30" t="s">
        <v>40</v>
      </c>
    </row>
    <row r="31" spans="1:15" x14ac:dyDescent="0.3">
      <c r="A31">
        <v>279</v>
      </c>
      <c r="B31" t="s">
        <v>34</v>
      </c>
      <c r="C31" t="s">
        <v>35</v>
      </c>
      <c r="D31">
        <v>2011</v>
      </c>
      <c r="E31">
        <v>4</v>
      </c>
      <c r="F31" t="s">
        <v>39</v>
      </c>
      <c r="G31">
        <v>837536.66586800001</v>
      </c>
      <c r="H31">
        <v>780000</v>
      </c>
      <c r="I31">
        <v>917000</v>
      </c>
      <c r="J31">
        <v>57536.665867999996</v>
      </c>
      <c r="K31">
        <v>107.37649500000001</v>
      </c>
      <c r="L31">
        <v>28</v>
      </c>
      <c r="M31" t="s">
        <v>37</v>
      </c>
      <c r="N31">
        <v>1</v>
      </c>
      <c r="O31" t="s">
        <v>38</v>
      </c>
    </row>
    <row r="32" spans="1:15" x14ac:dyDescent="0.3">
      <c r="A32">
        <v>283</v>
      </c>
      <c r="B32" t="s">
        <v>15</v>
      </c>
      <c r="C32" t="s">
        <v>16</v>
      </c>
      <c r="D32">
        <v>2012</v>
      </c>
      <c r="E32">
        <v>1</v>
      </c>
      <c r="F32" t="s">
        <v>41</v>
      </c>
      <c r="G32">
        <v>397533.7121</v>
      </c>
      <c r="H32">
        <v>267000</v>
      </c>
      <c r="I32">
        <v>280000</v>
      </c>
      <c r="J32">
        <v>130533.7121</v>
      </c>
      <c r="K32">
        <v>148.88902999999999</v>
      </c>
      <c r="L32">
        <v>14</v>
      </c>
      <c r="M32" t="s">
        <v>37</v>
      </c>
      <c r="N32">
        <v>1</v>
      </c>
      <c r="O32" t="s">
        <v>38</v>
      </c>
    </row>
    <row r="33" spans="1:15" x14ac:dyDescent="0.3">
      <c r="A33">
        <v>278</v>
      </c>
      <c r="B33" t="s">
        <v>21</v>
      </c>
      <c r="C33" t="s">
        <v>22</v>
      </c>
      <c r="D33">
        <v>2012</v>
      </c>
      <c r="E33">
        <v>1</v>
      </c>
      <c r="F33" t="s">
        <v>41</v>
      </c>
      <c r="G33">
        <v>410517.61849199998</v>
      </c>
      <c r="H33">
        <v>341000</v>
      </c>
      <c r="I33">
        <v>266000</v>
      </c>
      <c r="J33">
        <v>69517.618491999994</v>
      </c>
      <c r="K33">
        <v>120.386398</v>
      </c>
      <c r="L33">
        <v>20</v>
      </c>
      <c r="M33" t="s">
        <v>37</v>
      </c>
      <c r="N33">
        <v>1</v>
      </c>
      <c r="O33" t="s">
        <v>38</v>
      </c>
    </row>
    <row r="34" spans="1:15" x14ac:dyDescent="0.3">
      <c r="A34">
        <v>277</v>
      </c>
      <c r="B34" t="s">
        <v>23</v>
      </c>
      <c r="C34" t="s">
        <v>24</v>
      </c>
      <c r="D34">
        <v>2012</v>
      </c>
      <c r="E34">
        <v>1</v>
      </c>
      <c r="F34" t="s">
        <v>41</v>
      </c>
      <c r="G34">
        <v>1161798.213</v>
      </c>
      <c r="H34">
        <v>952000</v>
      </c>
      <c r="I34">
        <v>846000</v>
      </c>
      <c r="J34">
        <v>209798.21299999999</v>
      </c>
      <c r="K34">
        <v>122.037627</v>
      </c>
      <c r="L34">
        <v>38</v>
      </c>
      <c r="M34" t="s">
        <v>37</v>
      </c>
      <c r="N34">
        <v>1</v>
      </c>
      <c r="O34" t="s">
        <v>38</v>
      </c>
    </row>
    <row r="35" spans="1:15" x14ac:dyDescent="0.3">
      <c r="A35">
        <v>282</v>
      </c>
      <c r="B35" t="s">
        <v>25</v>
      </c>
      <c r="C35" t="s">
        <v>22</v>
      </c>
      <c r="D35">
        <v>2012</v>
      </c>
      <c r="E35">
        <v>1</v>
      </c>
      <c r="F35" t="s">
        <v>41</v>
      </c>
      <c r="G35">
        <v>795860.63297200005</v>
      </c>
      <c r="H35">
        <v>583000</v>
      </c>
      <c r="I35">
        <v>583000</v>
      </c>
      <c r="J35">
        <v>212860.63297199999</v>
      </c>
      <c r="K35">
        <v>136.511257</v>
      </c>
      <c r="L35">
        <v>38</v>
      </c>
      <c r="M35" t="s">
        <v>37</v>
      </c>
      <c r="N35">
        <v>1</v>
      </c>
      <c r="O35" t="s">
        <v>38</v>
      </c>
    </row>
    <row r="36" spans="1:15" x14ac:dyDescent="0.3">
      <c r="A36">
        <v>276</v>
      </c>
      <c r="B36" t="s">
        <v>26</v>
      </c>
      <c r="C36" t="s">
        <v>27</v>
      </c>
      <c r="D36">
        <v>2012</v>
      </c>
      <c r="E36">
        <v>1</v>
      </c>
      <c r="F36" t="s">
        <v>41</v>
      </c>
      <c r="G36">
        <v>991013.82761000004</v>
      </c>
      <c r="H36">
        <v>639000</v>
      </c>
      <c r="I36">
        <v>665000</v>
      </c>
      <c r="J36">
        <v>352013.82760999998</v>
      </c>
      <c r="K36">
        <v>155.088235</v>
      </c>
      <c r="L36">
        <v>36</v>
      </c>
      <c r="M36" t="s">
        <v>37</v>
      </c>
      <c r="N36">
        <v>1</v>
      </c>
      <c r="O36" t="s">
        <v>38</v>
      </c>
    </row>
    <row r="37" spans="1:15" x14ac:dyDescent="0.3">
      <c r="A37">
        <v>275</v>
      </c>
      <c r="B37" t="s">
        <v>28</v>
      </c>
      <c r="C37" t="s">
        <v>29</v>
      </c>
      <c r="D37">
        <v>2012</v>
      </c>
      <c r="E37">
        <v>1</v>
      </c>
      <c r="F37" t="s">
        <v>41</v>
      </c>
      <c r="G37">
        <v>600029.48219999997</v>
      </c>
      <c r="H37">
        <v>550000</v>
      </c>
      <c r="I37">
        <v>502000</v>
      </c>
      <c r="J37">
        <v>50029.482199999999</v>
      </c>
      <c r="K37">
        <v>109.09626900000001</v>
      </c>
      <c r="L37">
        <v>39</v>
      </c>
      <c r="M37" t="s">
        <v>37</v>
      </c>
      <c r="N37">
        <v>1</v>
      </c>
      <c r="O37" t="s">
        <v>38</v>
      </c>
    </row>
    <row r="38" spans="1:15" x14ac:dyDescent="0.3">
      <c r="A38">
        <v>280</v>
      </c>
      <c r="B38" t="s">
        <v>30</v>
      </c>
      <c r="C38" t="s">
        <v>16</v>
      </c>
      <c r="D38">
        <v>2012</v>
      </c>
      <c r="E38">
        <v>1</v>
      </c>
      <c r="F38" t="s">
        <v>41</v>
      </c>
      <c r="G38">
        <v>518999.10830000002</v>
      </c>
      <c r="H38">
        <v>301000</v>
      </c>
      <c r="I38">
        <v>264000</v>
      </c>
      <c r="J38">
        <v>217999.10829999999</v>
      </c>
      <c r="K38">
        <v>172.42495199999999</v>
      </c>
      <c r="L38">
        <v>19</v>
      </c>
      <c r="M38" t="s">
        <v>37</v>
      </c>
      <c r="N38">
        <v>1</v>
      </c>
      <c r="O38" t="s">
        <v>38</v>
      </c>
    </row>
    <row r="39" spans="1:15" x14ac:dyDescent="0.3">
      <c r="A39">
        <v>281</v>
      </c>
      <c r="B39" t="s">
        <v>31</v>
      </c>
      <c r="C39" t="s">
        <v>27</v>
      </c>
      <c r="D39">
        <v>2012</v>
      </c>
      <c r="E39">
        <v>1</v>
      </c>
      <c r="F39" t="s">
        <v>41</v>
      </c>
      <c r="G39">
        <v>511479.34570000001</v>
      </c>
      <c r="H39">
        <v>493000</v>
      </c>
      <c r="I39">
        <v>473000</v>
      </c>
      <c r="J39">
        <v>18479.345700000002</v>
      </c>
      <c r="K39">
        <v>103.748345</v>
      </c>
      <c r="L39">
        <v>17</v>
      </c>
      <c r="M39" t="s">
        <v>37</v>
      </c>
      <c r="N39">
        <v>1</v>
      </c>
      <c r="O39" t="s">
        <v>38</v>
      </c>
    </row>
    <row r="40" spans="1:15" x14ac:dyDescent="0.3">
      <c r="A40">
        <v>274</v>
      </c>
      <c r="B40" t="s">
        <v>32</v>
      </c>
      <c r="C40" t="s">
        <v>33</v>
      </c>
      <c r="D40">
        <v>2012</v>
      </c>
      <c r="E40">
        <v>1</v>
      </c>
      <c r="F40" t="s">
        <v>41</v>
      </c>
      <c r="G40">
        <v>112920.92849999999</v>
      </c>
      <c r="H40">
        <v>140000</v>
      </c>
      <c r="I40">
        <v>91000</v>
      </c>
      <c r="J40">
        <v>-27079.071499999998</v>
      </c>
      <c r="K40">
        <v>80.657805999999994</v>
      </c>
      <c r="L40">
        <v>4</v>
      </c>
      <c r="M40" t="s">
        <v>37</v>
      </c>
      <c r="N40">
        <v>1</v>
      </c>
      <c r="O40" t="s">
        <v>38</v>
      </c>
    </row>
    <row r="41" spans="1:15" x14ac:dyDescent="0.3">
      <c r="A41">
        <v>279</v>
      </c>
      <c r="B41" t="s">
        <v>34</v>
      </c>
      <c r="C41" t="s">
        <v>35</v>
      </c>
      <c r="D41">
        <v>2012</v>
      </c>
      <c r="E41">
        <v>1</v>
      </c>
      <c r="F41" t="s">
        <v>41</v>
      </c>
      <c r="G41">
        <v>1007933.129092</v>
      </c>
      <c r="H41">
        <v>802000</v>
      </c>
      <c r="I41">
        <v>780000</v>
      </c>
      <c r="J41">
        <v>205933.12909199999</v>
      </c>
      <c r="K41">
        <v>125.677447</v>
      </c>
      <c r="L41">
        <v>40</v>
      </c>
      <c r="M41" t="s">
        <v>37</v>
      </c>
      <c r="N41">
        <v>1</v>
      </c>
      <c r="O41" t="s">
        <v>38</v>
      </c>
    </row>
    <row r="42" spans="1:15" x14ac:dyDescent="0.3">
      <c r="A42">
        <v>287</v>
      </c>
      <c r="B42" t="s">
        <v>42</v>
      </c>
      <c r="C42" t="s">
        <v>33</v>
      </c>
      <c r="D42">
        <v>2012</v>
      </c>
      <c r="E42">
        <v>2</v>
      </c>
      <c r="F42" t="s">
        <v>43</v>
      </c>
      <c r="G42">
        <v>73732.468487999999</v>
      </c>
      <c r="H42">
        <v>93000</v>
      </c>
      <c r="I42" t="s">
        <v>18</v>
      </c>
      <c r="J42">
        <v>-19267.531512000001</v>
      </c>
      <c r="K42">
        <v>79.282223999999999</v>
      </c>
      <c r="L42">
        <v>3</v>
      </c>
      <c r="M42" t="s">
        <v>37</v>
      </c>
      <c r="N42">
        <v>1</v>
      </c>
      <c r="O42" t="s">
        <v>20</v>
      </c>
    </row>
    <row r="43" spans="1:15" x14ac:dyDescent="0.3">
      <c r="A43">
        <v>283</v>
      </c>
      <c r="B43" t="s">
        <v>15</v>
      </c>
      <c r="C43" t="s">
        <v>16</v>
      </c>
      <c r="D43">
        <v>2012</v>
      </c>
      <c r="E43">
        <v>2</v>
      </c>
      <c r="F43" t="s">
        <v>43</v>
      </c>
      <c r="G43">
        <v>363856.14902399998</v>
      </c>
      <c r="H43">
        <v>483000</v>
      </c>
      <c r="I43">
        <v>267000</v>
      </c>
      <c r="J43">
        <v>-119143.850976</v>
      </c>
      <c r="K43">
        <v>75.332536000000005</v>
      </c>
      <c r="L43">
        <v>17</v>
      </c>
      <c r="M43" t="s">
        <v>37</v>
      </c>
      <c r="N43">
        <v>1</v>
      </c>
      <c r="O43" t="s">
        <v>38</v>
      </c>
    </row>
    <row r="44" spans="1:15" x14ac:dyDescent="0.3">
      <c r="A44">
        <v>278</v>
      </c>
      <c r="B44" t="s">
        <v>21</v>
      </c>
      <c r="C44" t="s">
        <v>22</v>
      </c>
      <c r="D44">
        <v>2012</v>
      </c>
      <c r="E44">
        <v>2</v>
      </c>
      <c r="F44" t="s">
        <v>43</v>
      </c>
      <c r="G44">
        <v>352587.05977200001</v>
      </c>
      <c r="H44">
        <v>542000</v>
      </c>
      <c r="I44">
        <v>341000</v>
      </c>
      <c r="J44">
        <v>-189412.94022799999</v>
      </c>
      <c r="K44">
        <v>65.052963000000005</v>
      </c>
      <c r="L44">
        <v>17</v>
      </c>
      <c r="M44" t="s">
        <v>37</v>
      </c>
      <c r="N44">
        <v>1</v>
      </c>
      <c r="O44" t="s">
        <v>38</v>
      </c>
    </row>
    <row r="45" spans="1:15" x14ac:dyDescent="0.3">
      <c r="A45">
        <v>289</v>
      </c>
      <c r="B45" t="s">
        <v>44</v>
      </c>
      <c r="C45" t="s">
        <v>45</v>
      </c>
      <c r="D45">
        <v>2012</v>
      </c>
      <c r="E45">
        <v>2</v>
      </c>
      <c r="F45" t="s">
        <v>43</v>
      </c>
      <c r="G45">
        <v>963345.107923</v>
      </c>
      <c r="H45">
        <v>1898000</v>
      </c>
      <c r="I45" t="s">
        <v>18</v>
      </c>
      <c r="J45">
        <v>-934654.892077</v>
      </c>
      <c r="K45">
        <v>50.755800999999998</v>
      </c>
      <c r="L45">
        <v>27</v>
      </c>
      <c r="M45" t="s">
        <v>37</v>
      </c>
      <c r="N45">
        <v>1</v>
      </c>
      <c r="O45" t="s">
        <v>20</v>
      </c>
    </row>
    <row r="46" spans="1:15" x14ac:dyDescent="0.3">
      <c r="A46">
        <v>277</v>
      </c>
      <c r="B46" t="s">
        <v>23</v>
      </c>
      <c r="C46" t="s">
        <v>24</v>
      </c>
      <c r="D46">
        <v>2012</v>
      </c>
      <c r="E46">
        <v>2</v>
      </c>
      <c r="F46" t="s">
        <v>43</v>
      </c>
      <c r="G46">
        <v>1069513.873015</v>
      </c>
      <c r="H46">
        <v>1600000</v>
      </c>
      <c r="I46">
        <v>952000</v>
      </c>
      <c r="J46">
        <v>-530486.12698499998</v>
      </c>
      <c r="K46">
        <v>66.844617</v>
      </c>
      <c r="L46">
        <v>37</v>
      </c>
      <c r="M46" t="s">
        <v>37</v>
      </c>
      <c r="N46">
        <v>1</v>
      </c>
      <c r="O46" t="s">
        <v>38</v>
      </c>
    </row>
    <row r="47" spans="1:15" x14ac:dyDescent="0.3">
      <c r="A47">
        <v>282</v>
      </c>
      <c r="B47" t="s">
        <v>25</v>
      </c>
      <c r="C47" t="s">
        <v>22</v>
      </c>
      <c r="D47">
        <v>2012</v>
      </c>
      <c r="E47">
        <v>2</v>
      </c>
      <c r="F47" t="s">
        <v>43</v>
      </c>
      <c r="G47">
        <v>307378.87864000001</v>
      </c>
      <c r="H47">
        <v>496000</v>
      </c>
      <c r="I47">
        <v>583000</v>
      </c>
      <c r="J47">
        <v>-188621.12135999999</v>
      </c>
      <c r="K47">
        <v>61.971547999999999</v>
      </c>
      <c r="L47">
        <v>16</v>
      </c>
      <c r="M47" t="s">
        <v>37</v>
      </c>
      <c r="N47">
        <v>1</v>
      </c>
      <c r="O47" t="s">
        <v>38</v>
      </c>
    </row>
    <row r="48" spans="1:15" x14ac:dyDescent="0.3">
      <c r="A48">
        <v>276</v>
      </c>
      <c r="B48" t="s">
        <v>26</v>
      </c>
      <c r="C48" t="s">
        <v>27</v>
      </c>
      <c r="D48">
        <v>2012</v>
      </c>
      <c r="E48">
        <v>2</v>
      </c>
      <c r="F48" t="s">
        <v>43</v>
      </c>
      <c r="G48">
        <v>878631.18768800003</v>
      </c>
      <c r="H48">
        <v>1355000</v>
      </c>
      <c r="I48">
        <v>639000</v>
      </c>
      <c r="J48">
        <v>-476368.81231200002</v>
      </c>
      <c r="K48">
        <v>64.843630000000005</v>
      </c>
      <c r="L48">
        <v>32</v>
      </c>
      <c r="M48" t="s">
        <v>37</v>
      </c>
      <c r="N48">
        <v>1</v>
      </c>
      <c r="O48" t="s">
        <v>38</v>
      </c>
    </row>
    <row r="49" spans="1:15" x14ac:dyDescent="0.3">
      <c r="A49">
        <v>275</v>
      </c>
      <c r="B49" t="s">
        <v>28</v>
      </c>
      <c r="C49" t="s">
        <v>29</v>
      </c>
      <c r="D49">
        <v>2012</v>
      </c>
      <c r="E49">
        <v>2</v>
      </c>
      <c r="F49" t="s">
        <v>43</v>
      </c>
      <c r="G49">
        <v>987502.76113700005</v>
      </c>
      <c r="H49">
        <v>1429000</v>
      </c>
      <c r="I49">
        <v>550000</v>
      </c>
      <c r="J49">
        <v>-441497.23886300001</v>
      </c>
      <c r="K49">
        <v>69.104461000000001</v>
      </c>
      <c r="L49">
        <v>37</v>
      </c>
      <c r="M49" t="s">
        <v>37</v>
      </c>
      <c r="N49">
        <v>1</v>
      </c>
      <c r="O49" t="s">
        <v>38</v>
      </c>
    </row>
    <row r="50" spans="1:15" x14ac:dyDescent="0.3">
      <c r="A50">
        <v>280</v>
      </c>
      <c r="B50" t="s">
        <v>30</v>
      </c>
      <c r="C50" t="s">
        <v>16</v>
      </c>
      <c r="D50">
        <v>2012</v>
      </c>
      <c r="E50">
        <v>2</v>
      </c>
      <c r="F50" t="s">
        <v>43</v>
      </c>
      <c r="G50">
        <v>390023.582979</v>
      </c>
      <c r="H50">
        <v>210000</v>
      </c>
      <c r="I50">
        <v>301000</v>
      </c>
      <c r="J50">
        <v>180023.582979</v>
      </c>
      <c r="K50">
        <v>185.725515</v>
      </c>
      <c r="L50">
        <v>13</v>
      </c>
      <c r="M50" t="s">
        <v>37</v>
      </c>
      <c r="N50">
        <v>1</v>
      </c>
      <c r="O50" t="s">
        <v>38</v>
      </c>
    </row>
    <row r="51" spans="1:15" x14ac:dyDescent="0.3">
      <c r="A51">
        <v>290</v>
      </c>
      <c r="B51" t="s">
        <v>46</v>
      </c>
      <c r="C51" t="s">
        <v>47</v>
      </c>
      <c r="D51">
        <v>2012</v>
      </c>
      <c r="E51">
        <v>2</v>
      </c>
      <c r="F51" t="s">
        <v>43</v>
      </c>
      <c r="G51">
        <v>360245.81910999998</v>
      </c>
      <c r="H51">
        <v>593000</v>
      </c>
      <c r="I51" t="s">
        <v>18</v>
      </c>
      <c r="J51">
        <v>-232754.18088999999</v>
      </c>
      <c r="K51">
        <v>60.749715999999999</v>
      </c>
      <c r="L51">
        <v>11</v>
      </c>
      <c r="M51" t="s">
        <v>37</v>
      </c>
      <c r="N51">
        <v>1</v>
      </c>
      <c r="O51" t="s">
        <v>20</v>
      </c>
    </row>
    <row r="52" spans="1:15" x14ac:dyDescent="0.3">
      <c r="A52">
        <v>281</v>
      </c>
      <c r="B52" t="s">
        <v>31</v>
      </c>
      <c r="C52" t="s">
        <v>27</v>
      </c>
      <c r="D52">
        <v>2012</v>
      </c>
      <c r="E52">
        <v>2</v>
      </c>
      <c r="F52" t="s">
        <v>43</v>
      </c>
      <c r="G52">
        <v>533632.34414900001</v>
      </c>
      <c r="H52">
        <v>1034000</v>
      </c>
      <c r="I52">
        <v>493000</v>
      </c>
      <c r="J52">
        <v>-500367.65585099999</v>
      </c>
      <c r="K52">
        <v>51.608542999999997</v>
      </c>
      <c r="L52">
        <v>18</v>
      </c>
      <c r="M52" t="s">
        <v>37</v>
      </c>
      <c r="N52">
        <v>1</v>
      </c>
      <c r="O52" t="s">
        <v>38</v>
      </c>
    </row>
    <row r="53" spans="1:15" x14ac:dyDescent="0.3">
      <c r="A53">
        <v>274</v>
      </c>
      <c r="B53" t="s">
        <v>32</v>
      </c>
      <c r="C53" t="s">
        <v>33</v>
      </c>
      <c r="D53">
        <v>2012</v>
      </c>
      <c r="E53">
        <v>2</v>
      </c>
      <c r="F53" t="s">
        <v>43</v>
      </c>
      <c r="G53">
        <v>103863.0045</v>
      </c>
      <c r="H53">
        <v>70000</v>
      </c>
      <c r="I53">
        <v>140000</v>
      </c>
      <c r="J53">
        <v>33863.004500000003</v>
      </c>
      <c r="K53">
        <v>148.37572</v>
      </c>
      <c r="L53">
        <v>8</v>
      </c>
      <c r="M53" t="s">
        <v>37</v>
      </c>
      <c r="N53">
        <v>1</v>
      </c>
      <c r="O53" t="s">
        <v>38</v>
      </c>
    </row>
    <row r="54" spans="1:15" x14ac:dyDescent="0.3">
      <c r="A54">
        <v>279</v>
      </c>
      <c r="B54" t="s">
        <v>34</v>
      </c>
      <c r="C54" t="s">
        <v>35</v>
      </c>
      <c r="D54">
        <v>2012</v>
      </c>
      <c r="E54">
        <v>2</v>
      </c>
      <c r="F54" t="s">
        <v>43</v>
      </c>
      <c r="G54">
        <v>612371.76659599994</v>
      </c>
      <c r="H54">
        <v>734000</v>
      </c>
      <c r="I54">
        <v>802000</v>
      </c>
      <c r="J54">
        <v>-121628.233404</v>
      </c>
      <c r="K54">
        <v>83.429395</v>
      </c>
      <c r="L54">
        <v>43</v>
      </c>
      <c r="M54" t="s">
        <v>37</v>
      </c>
      <c r="N54">
        <v>1</v>
      </c>
      <c r="O54" t="s">
        <v>38</v>
      </c>
    </row>
    <row r="55" spans="1:15" x14ac:dyDescent="0.3">
      <c r="A55">
        <v>287</v>
      </c>
      <c r="B55" t="s">
        <v>42</v>
      </c>
      <c r="C55" t="s">
        <v>33</v>
      </c>
      <c r="D55">
        <v>2012</v>
      </c>
      <c r="E55">
        <v>3</v>
      </c>
      <c r="F55" t="s">
        <v>48</v>
      </c>
      <c r="G55">
        <v>12648.132600000001</v>
      </c>
      <c r="H55">
        <v>15000</v>
      </c>
      <c r="I55">
        <v>93000</v>
      </c>
      <c r="J55">
        <v>-2351.8674000000001</v>
      </c>
      <c r="K55">
        <v>84.320884000000007</v>
      </c>
      <c r="L55">
        <v>2</v>
      </c>
      <c r="M55" t="s">
        <v>37</v>
      </c>
      <c r="N55">
        <v>1</v>
      </c>
      <c r="O55" t="s">
        <v>49</v>
      </c>
    </row>
    <row r="56" spans="1:15" x14ac:dyDescent="0.3">
      <c r="A56">
        <v>283</v>
      </c>
      <c r="B56" t="s">
        <v>15</v>
      </c>
      <c r="C56" t="s">
        <v>16</v>
      </c>
      <c r="D56">
        <v>2012</v>
      </c>
      <c r="E56">
        <v>3</v>
      </c>
      <c r="F56" t="s">
        <v>48</v>
      </c>
      <c r="G56">
        <v>311207.66193599999</v>
      </c>
      <c r="H56">
        <v>341000</v>
      </c>
      <c r="I56">
        <v>483000</v>
      </c>
      <c r="J56">
        <v>-29792.338064</v>
      </c>
      <c r="K56">
        <v>91.263243000000003</v>
      </c>
      <c r="L56">
        <v>16</v>
      </c>
      <c r="M56" t="s">
        <v>37</v>
      </c>
      <c r="N56">
        <v>1</v>
      </c>
      <c r="O56" t="s">
        <v>38</v>
      </c>
    </row>
    <row r="57" spans="1:15" x14ac:dyDescent="0.3">
      <c r="A57">
        <v>278</v>
      </c>
      <c r="B57" t="s">
        <v>21</v>
      </c>
      <c r="C57" t="s">
        <v>22</v>
      </c>
      <c r="D57">
        <v>2012</v>
      </c>
      <c r="E57">
        <v>3</v>
      </c>
      <c r="F57" t="s">
        <v>48</v>
      </c>
      <c r="G57">
        <v>316818.06738800002</v>
      </c>
      <c r="H57">
        <v>329000</v>
      </c>
      <c r="I57">
        <v>542000</v>
      </c>
      <c r="J57">
        <v>-12181.932612000001</v>
      </c>
      <c r="K57">
        <v>96.297284000000005</v>
      </c>
      <c r="L57">
        <v>22</v>
      </c>
      <c r="M57" t="s">
        <v>37</v>
      </c>
      <c r="N57">
        <v>1</v>
      </c>
      <c r="O57" t="s">
        <v>38</v>
      </c>
    </row>
    <row r="58" spans="1:15" x14ac:dyDescent="0.3">
      <c r="A58">
        <v>289</v>
      </c>
      <c r="B58" t="s">
        <v>44</v>
      </c>
      <c r="C58" t="s">
        <v>45</v>
      </c>
      <c r="D58">
        <v>2012</v>
      </c>
      <c r="E58">
        <v>3</v>
      </c>
      <c r="F58" t="s">
        <v>48</v>
      </c>
      <c r="G58">
        <v>1150963.284248</v>
      </c>
      <c r="H58">
        <v>1262000</v>
      </c>
      <c r="I58">
        <v>1898000</v>
      </c>
      <c r="J58">
        <v>-111036.715752</v>
      </c>
      <c r="K58">
        <v>91.201527999999996</v>
      </c>
      <c r="L58">
        <v>39</v>
      </c>
      <c r="M58" t="s">
        <v>37</v>
      </c>
      <c r="N58">
        <v>1</v>
      </c>
      <c r="O58" t="s">
        <v>38</v>
      </c>
    </row>
    <row r="59" spans="1:15" x14ac:dyDescent="0.3">
      <c r="A59">
        <v>277</v>
      </c>
      <c r="B59" t="s">
        <v>23</v>
      </c>
      <c r="C59" t="s">
        <v>24</v>
      </c>
      <c r="D59">
        <v>2012</v>
      </c>
      <c r="E59">
        <v>3</v>
      </c>
      <c r="F59" t="s">
        <v>48</v>
      </c>
      <c r="G59">
        <v>1156716.6382929999</v>
      </c>
      <c r="H59">
        <v>1352000</v>
      </c>
      <c r="I59">
        <v>1600000</v>
      </c>
      <c r="J59">
        <v>-195283.361707</v>
      </c>
      <c r="K59">
        <v>85.555964000000003</v>
      </c>
      <c r="L59">
        <v>41</v>
      </c>
      <c r="M59" t="s">
        <v>37</v>
      </c>
      <c r="N59">
        <v>1</v>
      </c>
      <c r="O59" t="s">
        <v>38</v>
      </c>
    </row>
    <row r="60" spans="1:15" x14ac:dyDescent="0.3">
      <c r="A60">
        <v>282</v>
      </c>
      <c r="B60" t="s">
        <v>25</v>
      </c>
      <c r="C60" t="s">
        <v>22</v>
      </c>
      <c r="D60">
        <v>2012</v>
      </c>
      <c r="E60">
        <v>3</v>
      </c>
      <c r="F60" t="s">
        <v>48</v>
      </c>
      <c r="G60">
        <v>408414.81043100002</v>
      </c>
      <c r="H60">
        <v>452000</v>
      </c>
      <c r="I60">
        <v>496000</v>
      </c>
      <c r="J60">
        <v>-43585.189569000002</v>
      </c>
      <c r="K60">
        <v>90.357258000000002</v>
      </c>
      <c r="L60">
        <v>16</v>
      </c>
      <c r="M60" t="s">
        <v>37</v>
      </c>
      <c r="N60">
        <v>1</v>
      </c>
      <c r="O60" t="s">
        <v>38</v>
      </c>
    </row>
    <row r="61" spans="1:15" x14ac:dyDescent="0.3">
      <c r="A61">
        <v>276</v>
      </c>
      <c r="B61" t="s">
        <v>26</v>
      </c>
      <c r="C61" t="s">
        <v>27</v>
      </c>
      <c r="D61">
        <v>2012</v>
      </c>
      <c r="E61">
        <v>3</v>
      </c>
      <c r="F61" t="s">
        <v>48</v>
      </c>
      <c r="G61">
        <v>1087510.951537</v>
      </c>
      <c r="H61">
        <v>1009000</v>
      </c>
      <c r="I61">
        <v>1355000</v>
      </c>
      <c r="J61">
        <v>78510.951537000001</v>
      </c>
      <c r="K61">
        <v>107.781065</v>
      </c>
      <c r="L61">
        <v>42</v>
      </c>
      <c r="M61" t="s">
        <v>37</v>
      </c>
      <c r="N61">
        <v>1</v>
      </c>
      <c r="O61" t="s">
        <v>38</v>
      </c>
    </row>
    <row r="62" spans="1:15" x14ac:dyDescent="0.3">
      <c r="A62">
        <v>275</v>
      </c>
      <c r="B62" t="s">
        <v>28</v>
      </c>
      <c r="C62" t="s">
        <v>29</v>
      </c>
      <c r="D62">
        <v>2012</v>
      </c>
      <c r="E62">
        <v>3</v>
      </c>
      <c r="F62" t="s">
        <v>48</v>
      </c>
      <c r="G62">
        <v>1142965.4284930001</v>
      </c>
      <c r="H62">
        <v>1324000</v>
      </c>
      <c r="I62">
        <v>1429000</v>
      </c>
      <c r="J62">
        <v>-181034.57150699999</v>
      </c>
      <c r="K62">
        <v>86.326693000000006</v>
      </c>
      <c r="L62">
        <v>42</v>
      </c>
      <c r="M62" t="s">
        <v>37</v>
      </c>
      <c r="N62">
        <v>1</v>
      </c>
      <c r="O62" t="s">
        <v>38</v>
      </c>
    </row>
    <row r="63" spans="1:15" x14ac:dyDescent="0.3">
      <c r="A63">
        <v>280</v>
      </c>
      <c r="B63" t="s">
        <v>30</v>
      </c>
      <c r="C63" t="s">
        <v>16</v>
      </c>
      <c r="D63">
        <v>2012</v>
      </c>
      <c r="E63">
        <v>3</v>
      </c>
      <c r="F63" t="s">
        <v>48</v>
      </c>
      <c r="G63">
        <v>180395.881956</v>
      </c>
      <c r="H63">
        <v>226000</v>
      </c>
      <c r="I63">
        <v>210000</v>
      </c>
      <c r="J63">
        <v>-45604.118044000003</v>
      </c>
      <c r="K63">
        <v>79.821185999999997</v>
      </c>
      <c r="L63">
        <v>10</v>
      </c>
      <c r="M63" t="s">
        <v>37</v>
      </c>
      <c r="N63">
        <v>1</v>
      </c>
      <c r="O63" t="s">
        <v>38</v>
      </c>
    </row>
    <row r="64" spans="1:15" x14ac:dyDescent="0.3">
      <c r="A64">
        <v>290</v>
      </c>
      <c r="B64" t="s">
        <v>46</v>
      </c>
      <c r="C64" t="s">
        <v>47</v>
      </c>
      <c r="D64">
        <v>2012</v>
      </c>
      <c r="E64">
        <v>3</v>
      </c>
      <c r="F64" t="s">
        <v>48</v>
      </c>
      <c r="G64">
        <v>400092.28992499999</v>
      </c>
      <c r="H64">
        <v>409000</v>
      </c>
      <c r="I64">
        <v>593000</v>
      </c>
      <c r="J64">
        <v>-8907.7100750000009</v>
      </c>
      <c r="K64">
        <v>97.822074999999998</v>
      </c>
      <c r="L64">
        <v>17</v>
      </c>
      <c r="M64" t="s">
        <v>37</v>
      </c>
      <c r="N64">
        <v>1</v>
      </c>
      <c r="O64" t="s">
        <v>38</v>
      </c>
    </row>
    <row r="65" spans="1:15" x14ac:dyDescent="0.3">
      <c r="A65">
        <v>281</v>
      </c>
      <c r="B65" t="s">
        <v>31</v>
      </c>
      <c r="C65" t="s">
        <v>27</v>
      </c>
      <c r="D65">
        <v>2012</v>
      </c>
      <c r="E65">
        <v>3</v>
      </c>
      <c r="F65" t="s">
        <v>48</v>
      </c>
      <c r="G65">
        <v>724359.87075899995</v>
      </c>
      <c r="H65">
        <v>813000</v>
      </c>
      <c r="I65">
        <v>1034000</v>
      </c>
      <c r="J65">
        <v>-88640.129241000002</v>
      </c>
      <c r="K65">
        <v>89.097155000000001</v>
      </c>
      <c r="L65">
        <v>19</v>
      </c>
      <c r="M65" t="s">
        <v>37</v>
      </c>
      <c r="N65">
        <v>1</v>
      </c>
      <c r="O65" t="s">
        <v>38</v>
      </c>
    </row>
    <row r="66" spans="1:15" x14ac:dyDescent="0.3">
      <c r="A66">
        <v>274</v>
      </c>
      <c r="B66" t="s">
        <v>32</v>
      </c>
      <c r="C66" t="s">
        <v>33</v>
      </c>
      <c r="D66">
        <v>2012</v>
      </c>
      <c r="E66">
        <v>3</v>
      </c>
      <c r="F66" t="s">
        <v>48</v>
      </c>
      <c r="G66">
        <v>59444.3894</v>
      </c>
      <c r="H66">
        <v>154000</v>
      </c>
      <c r="I66">
        <v>70000</v>
      </c>
      <c r="J66">
        <v>-94555.6106</v>
      </c>
      <c r="K66">
        <v>38.600251999999998</v>
      </c>
      <c r="L66">
        <v>7</v>
      </c>
      <c r="M66" t="s">
        <v>37</v>
      </c>
      <c r="N66">
        <v>1</v>
      </c>
      <c r="O66" t="s">
        <v>38</v>
      </c>
    </row>
    <row r="67" spans="1:15" x14ac:dyDescent="0.3">
      <c r="A67">
        <v>284</v>
      </c>
      <c r="B67" t="s">
        <v>50</v>
      </c>
      <c r="C67" t="s">
        <v>16</v>
      </c>
      <c r="D67">
        <v>2012</v>
      </c>
      <c r="E67">
        <v>3</v>
      </c>
      <c r="F67" t="s">
        <v>48</v>
      </c>
      <c r="G67">
        <v>221788.37867599999</v>
      </c>
      <c r="H67">
        <v>321000</v>
      </c>
      <c r="I67" t="s">
        <v>18</v>
      </c>
      <c r="J67">
        <v>-99211.621324000007</v>
      </c>
      <c r="K67">
        <v>69.092951999999997</v>
      </c>
      <c r="L67">
        <v>8</v>
      </c>
      <c r="M67" t="s">
        <v>37</v>
      </c>
      <c r="N67">
        <v>1</v>
      </c>
      <c r="O67" t="s">
        <v>20</v>
      </c>
    </row>
    <row r="68" spans="1:15" x14ac:dyDescent="0.3">
      <c r="A68">
        <v>279</v>
      </c>
      <c r="B68" t="s">
        <v>34</v>
      </c>
      <c r="C68" t="s">
        <v>35</v>
      </c>
      <c r="D68">
        <v>2012</v>
      </c>
      <c r="E68">
        <v>3</v>
      </c>
      <c r="F68" t="s">
        <v>48</v>
      </c>
      <c r="G68">
        <v>568003.95143899997</v>
      </c>
      <c r="H68">
        <v>647000</v>
      </c>
      <c r="I68">
        <v>734000</v>
      </c>
      <c r="J68">
        <v>-78996.048561000003</v>
      </c>
      <c r="K68">
        <v>87.790408999999997</v>
      </c>
      <c r="L68">
        <v>36</v>
      </c>
      <c r="M68" t="s">
        <v>37</v>
      </c>
      <c r="N68">
        <v>1</v>
      </c>
      <c r="O68" t="s">
        <v>38</v>
      </c>
    </row>
    <row r="69" spans="1:15" x14ac:dyDescent="0.3">
      <c r="A69">
        <v>287</v>
      </c>
      <c r="B69" t="s">
        <v>42</v>
      </c>
      <c r="C69" t="s">
        <v>33</v>
      </c>
      <c r="D69">
        <v>2012</v>
      </c>
      <c r="E69">
        <v>4</v>
      </c>
      <c r="F69" t="s">
        <v>51</v>
      </c>
      <c r="G69">
        <v>29649.050899999998</v>
      </c>
      <c r="H69">
        <v>33000</v>
      </c>
      <c r="I69">
        <v>15000</v>
      </c>
      <c r="J69">
        <v>-3350.9490999999998</v>
      </c>
      <c r="K69">
        <v>89.845607999999999</v>
      </c>
      <c r="L69">
        <v>2</v>
      </c>
      <c r="M69" t="s">
        <v>37</v>
      </c>
      <c r="N69">
        <v>1</v>
      </c>
      <c r="O69" t="s">
        <v>38</v>
      </c>
    </row>
    <row r="70" spans="1:15" x14ac:dyDescent="0.3">
      <c r="A70">
        <v>283</v>
      </c>
      <c r="B70" t="s">
        <v>15</v>
      </c>
      <c r="C70" t="s">
        <v>16</v>
      </c>
      <c r="D70">
        <v>2012</v>
      </c>
      <c r="E70">
        <v>4</v>
      </c>
      <c r="F70" t="s">
        <v>51</v>
      </c>
      <c r="G70">
        <v>215471.20041699999</v>
      </c>
      <c r="H70">
        <v>151000</v>
      </c>
      <c r="I70">
        <v>341000</v>
      </c>
      <c r="J70">
        <v>64471.200417</v>
      </c>
      <c r="K70">
        <v>142.69615899999999</v>
      </c>
      <c r="L70">
        <v>16</v>
      </c>
      <c r="M70" t="s">
        <v>37</v>
      </c>
      <c r="N70">
        <v>1</v>
      </c>
      <c r="O70" t="s">
        <v>38</v>
      </c>
    </row>
    <row r="71" spans="1:15" x14ac:dyDescent="0.3">
      <c r="A71">
        <v>278</v>
      </c>
      <c r="B71" t="s">
        <v>21</v>
      </c>
      <c r="C71" t="s">
        <v>22</v>
      </c>
      <c r="D71">
        <v>2012</v>
      </c>
      <c r="E71">
        <v>4</v>
      </c>
      <c r="F71" t="s">
        <v>51</v>
      </c>
      <c r="G71">
        <v>203646.88369799999</v>
      </c>
      <c r="H71">
        <v>239000</v>
      </c>
      <c r="I71">
        <v>329000</v>
      </c>
      <c r="J71">
        <v>-35353.116302000002</v>
      </c>
      <c r="K71">
        <v>85.207901000000007</v>
      </c>
      <c r="L71">
        <v>21</v>
      </c>
      <c r="M71" t="s">
        <v>37</v>
      </c>
      <c r="N71">
        <v>1</v>
      </c>
      <c r="O71" t="s">
        <v>38</v>
      </c>
    </row>
    <row r="72" spans="1:15" x14ac:dyDescent="0.3">
      <c r="A72">
        <v>289</v>
      </c>
      <c r="B72" t="s">
        <v>44</v>
      </c>
      <c r="C72" t="s">
        <v>45</v>
      </c>
      <c r="D72">
        <v>2012</v>
      </c>
      <c r="E72">
        <v>4</v>
      </c>
      <c r="F72" t="s">
        <v>51</v>
      </c>
      <c r="G72">
        <v>899969.65474899998</v>
      </c>
      <c r="H72">
        <v>938000</v>
      </c>
      <c r="I72">
        <v>1262000</v>
      </c>
      <c r="J72">
        <v>-38030.345250999999</v>
      </c>
      <c r="K72">
        <v>95.945592000000005</v>
      </c>
      <c r="L72">
        <v>45</v>
      </c>
      <c r="M72" t="s">
        <v>37</v>
      </c>
      <c r="N72">
        <v>1</v>
      </c>
      <c r="O72" t="s">
        <v>38</v>
      </c>
    </row>
    <row r="73" spans="1:15" x14ac:dyDescent="0.3">
      <c r="A73">
        <v>277</v>
      </c>
      <c r="B73" t="s">
        <v>23</v>
      </c>
      <c r="C73" t="s">
        <v>24</v>
      </c>
      <c r="D73">
        <v>2012</v>
      </c>
      <c r="E73">
        <v>4</v>
      </c>
      <c r="F73" t="s">
        <v>51</v>
      </c>
      <c r="G73">
        <v>929277.84989700001</v>
      </c>
      <c r="H73">
        <v>839000</v>
      </c>
      <c r="I73">
        <v>1352000</v>
      </c>
      <c r="J73">
        <v>90277.849896999993</v>
      </c>
      <c r="K73">
        <v>110.760172</v>
      </c>
      <c r="L73">
        <v>50</v>
      </c>
      <c r="M73" t="s">
        <v>37</v>
      </c>
      <c r="N73">
        <v>1</v>
      </c>
      <c r="O73" t="s">
        <v>38</v>
      </c>
    </row>
    <row r="74" spans="1:15" x14ac:dyDescent="0.3">
      <c r="A74">
        <v>282</v>
      </c>
      <c r="B74" t="s">
        <v>25</v>
      </c>
      <c r="C74" t="s">
        <v>22</v>
      </c>
      <c r="D74">
        <v>2012</v>
      </c>
      <c r="E74">
        <v>4</v>
      </c>
      <c r="F74" t="s">
        <v>51</v>
      </c>
      <c r="G74">
        <v>324061.54822499998</v>
      </c>
      <c r="H74">
        <v>288000</v>
      </c>
      <c r="I74">
        <v>452000</v>
      </c>
      <c r="J74">
        <v>36061.548224999999</v>
      </c>
      <c r="K74">
        <v>112.52137</v>
      </c>
      <c r="L74">
        <v>16</v>
      </c>
      <c r="M74" t="s">
        <v>37</v>
      </c>
      <c r="N74">
        <v>1</v>
      </c>
      <c r="O74" t="s">
        <v>38</v>
      </c>
    </row>
    <row r="75" spans="1:15" x14ac:dyDescent="0.3">
      <c r="A75">
        <v>276</v>
      </c>
      <c r="B75" t="s">
        <v>26</v>
      </c>
      <c r="C75" t="s">
        <v>27</v>
      </c>
      <c r="D75">
        <v>2012</v>
      </c>
      <c r="E75">
        <v>4</v>
      </c>
      <c r="F75" t="s">
        <v>51</v>
      </c>
      <c r="G75">
        <v>877752.70708700002</v>
      </c>
      <c r="H75">
        <v>860000</v>
      </c>
      <c r="I75">
        <v>1009000</v>
      </c>
      <c r="J75">
        <v>17752.707086999999</v>
      </c>
      <c r="K75">
        <v>102.064268</v>
      </c>
      <c r="L75">
        <v>41</v>
      </c>
      <c r="M75" t="s">
        <v>37</v>
      </c>
      <c r="N75">
        <v>1</v>
      </c>
      <c r="O75" t="s">
        <v>38</v>
      </c>
    </row>
    <row r="76" spans="1:15" x14ac:dyDescent="0.3">
      <c r="A76">
        <v>275</v>
      </c>
      <c r="B76" t="s">
        <v>28</v>
      </c>
      <c r="C76" t="s">
        <v>29</v>
      </c>
      <c r="D76">
        <v>2012</v>
      </c>
      <c r="E76">
        <v>4</v>
      </c>
      <c r="F76" t="s">
        <v>51</v>
      </c>
      <c r="G76">
        <v>644959.22270599997</v>
      </c>
      <c r="H76">
        <v>729000</v>
      </c>
      <c r="I76">
        <v>1324000</v>
      </c>
      <c r="J76">
        <v>-84040.777294</v>
      </c>
      <c r="K76">
        <v>88.471772000000001</v>
      </c>
      <c r="L76">
        <v>30</v>
      </c>
      <c r="M76" t="s">
        <v>37</v>
      </c>
      <c r="N76">
        <v>1</v>
      </c>
      <c r="O76" t="s">
        <v>38</v>
      </c>
    </row>
    <row r="77" spans="1:15" x14ac:dyDescent="0.3">
      <c r="A77">
        <v>280</v>
      </c>
      <c r="B77" t="s">
        <v>30</v>
      </c>
      <c r="C77" t="s">
        <v>16</v>
      </c>
      <c r="D77">
        <v>2012</v>
      </c>
      <c r="E77">
        <v>4</v>
      </c>
      <c r="F77" t="s">
        <v>51</v>
      </c>
      <c r="G77">
        <v>118845.810052</v>
      </c>
      <c r="H77">
        <v>190000</v>
      </c>
      <c r="I77">
        <v>226000</v>
      </c>
      <c r="J77">
        <v>-71154.189947999999</v>
      </c>
      <c r="K77">
        <v>62.550426000000002</v>
      </c>
      <c r="L77">
        <v>3</v>
      </c>
      <c r="M77" t="s">
        <v>37</v>
      </c>
      <c r="N77">
        <v>1</v>
      </c>
      <c r="O77" t="s">
        <v>38</v>
      </c>
    </row>
    <row r="78" spans="1:15" x14ac:dyDescent="0.3">
      <c r="A78">
        <v>290</v>
      </c>
      <c r="B78" t="s">
        <v>46</v>
      </c>
      <c r="C78" t="s">
        <v>47</v>
      </c>
      <c r="D78">
        <v>2012</v>
      </c>
      <c r="E78">
        <v>4</v>
      </c>
      <c r="F78" t="s">
        <v>51</v>
      </c>
      <c r="G78">
        <v>235953.79889999999</v>
      </c>
      <c r="H78">
        <v>217000</v>
      </c>
      <c r="I78">
        <v>409000</v>
      </c>
      <c r="J78">
        <v>18953.798900000002</v>
      </c>
      <c r="K78">
        <v>108.734469</v>
      </c>
      <c r="L78">
        <v>14</v>
      </c>
      <c r="M78" t="s">
        <v>37</v>
      </c>
      <c r="N78">
        <v>1</v>
      </c>
      <c r="O78" t="s">
        <v>38</v>
      </c>
    </row>
    <row r="79" spans="1:15" x14ac:dyDescent="0.3">
      <c r="A79">
        <v>281</v>
      </c>
      <c r="B79" t="s">
        <v>31</v>
      </c>
      <c r="C79" t="s">
        <v>27</v>
      </c>
      <c r="D79">
        <v>2012</v>
      </c>
      <c r="E79">
        <v>4</v>
      </c>
      <c r="F79" t="s">
        <v>51</v>
      </c>
      <c r="G79">
        <v>524738.98985999997</v>
      </c>
      <c r="H79">
        <v>470000</v>
      </c>
      <c r="I79">
        <v>813000</v>
      </c>
      <c r="J79">
        <v>54738.989860000001</v>
      </c>
      <c r="K79">
        <v>111.646593</v>
      </c>
      <c r="L79">
        <v>20</v>
      </c>
      <c r="M79" t="s">
        <v>37</v>
      </c>
      <c r="N79">
        <v>1</v>
      </c>
      <c r="O79" t="s">
        <v>38</v>
      </c>
    </row>
    <row r="80" spans="1:15" x14ac:dyDescent="0.3">
      <c r="A80">
        <v>274</v>
      </c>
      <c r="B80" t="s">
        <v>32</v>
      </c>
      <c r="C80" t="s">
        <v>33</v>
      </c>
      <c r="D80">
        <v>2012</v>
      </c>
      <c r="E80">
        <v>4</v>
      </c>
      <c r="F80" t="s">
        <v>51</v>
      </c>
      <c r="G80">
        <v>177296.20088300001</v>
      </c>
      <c r="H80">
        <v>107000</v>
      </c>
      <c r="I80">
        <v>154000</v>
      </c>
      <c r="J80">
        <v>70296.200882999998</v>
      </c>
      <c r="K80">
        <v>165.697384</v>
      </c>
      <c r="L80">
        <v>3</v>
      </c>
      <c r="M80" t="s">
        <v>37</v>
      </c>
      <c r="N80">
        <v>1</v>
      </c>
      <c r="O80" t="s">
        <v>38</v>
      </c>
    </row>
    <row r="81" spans="1:15" x14ac:dyDescent="0.3">
      <c r="A81">
        <v>284</v>
      </c>
      <c r="B81" t="s">
        <v>50</v>
      </c>
      <c r="C81" t="s">
        <v>16</v>
      </c>
      <c r="D81">
        <v>2012</v>
      </c>
      <c r="E81">
        <v>4</v>
      </c>
      <c r="F81" t="s">
        <v>51</v>
      </c>
      <c r="G81">
        <v>219851.21739999999</v>
      </c>
      <c r="H81">
        <v>281000</v>
      </c>
      <c r="I81">
        <v>321000</v>
      </c>
      <c r="J81">
        <v>-61148.782599999999</v>
      </c>
      <c r="K81">
        <v>78.238866999999999</v>
      </c>
      <c r="L81">
        <v>16</v>
      </c>
      <c r="M81" t="s">
        <v>37</v>
      </c>
      <c r="N81">
        <v>1</v>
      </c>
      <c r="O81" t="s">
        <v>38</v>
      </c>
    </row>
    <row r="82" spans="1:15" x14ac:dyDescent="0.3">
      <c r="A82">
        <v>279</v>
      </c>
      <c r="B82" t="s">
        <v>34</v>
      </c>
      <c r="C82" t="s">
        <v>35</v>
      </c>
      <c r="D82">
        <v>2012</v>
      </c>
      <c r="E82">
        <v>4</v>
      </c>
      <c r="F82" t="s">
        <v>51</v>
      </c>
      <c r="G82">
        <v>486127.50429200003</v>
      </c>
      <c r="H82">
        <v>571000</v>
      </c>
      <c r="I82">
        <v>647000</v>
      </c>
      <c r="J82">
        <v>-84872.495708000002</v>
      </c>
      <c r="K82">
        <v>85.136165000000005</v>
      </c>
      <c r="L82">
        <v>34</v>
      </c>
      <c r="M82" t="s">
        <v>37</v>
      </c>
      <c r="N82">
        <v>1</v>
      </c>
      <c r="O82" t="s">
        <v>38</v>
      </c>
    </row>
    <row r="83" spans="1:15" x14ac:dyDescent="0.3">
      <c r="A83">
        <v>287</v>
      </c>
      <c r="B83" t="s">
        <v>42</v>
      </c>
      <c r="C83" t="s">
        <v>33</v>
      </c>
      <c r="D83">
        <v>2013</v>
      </c>
      <c r="E83">
        <v>1</v>
      </c>
      <c r="F83" t="s">
        <v>52</v>
      </c>
      <c r="G83">
        <v>45458.3433</v>
      </c>
      <c r="H83">
        <v>110000</v>
      </c>
      <c r="I83">
        <v>33000</v>
      </c>
      <c r="J83">
        <v>-64541.6567</v>
      </c>
      <c r="K83">
        <v>41.325766000000002</v>
      </c>
      <c r="L83">
        <v>3</v>
      </c>
      <c r="M83" t="s">
        <v>37</v>
      </c>
      <c r="N83">
        <v>1</v>
      </c>
      <c r="O83" t="s">
        <v>38</v>
      </c>
    </row>
    <row r="84" spans="1:15" x14ac:dyDescent="0.3">
      <c r="A84">
        <v>283</v>
      </c>
      <c r="B84" t="s">
        <v>15</v>
      </c>
      <c r="C84" t="s">
        <v>16</v>
      </c>
      <c r="D84">
        <v>2013</v>
      </c>
      <c r="E84">
        <v>1</v>
      </c>
      <c r="F84" t="s">
        <v>52</v>
      </c>
      <c r="G84">
        <v>266073.14538100001</v>
      </c>
      <c r="H84">
        <v>284000</v>
      </c>
      <c r="I84">
        <v>151000</v>
      </c>
      <c r="J84">
        <v>-17926.854619000002</v>
      </c>
      <c r="K84">
        <v>93.687726999999995</v>
      </c>
      <c r="L84">
        <v>16</v>
      </c>
      <c r="M84" t="s">
        <v>37</v>
      </c>
      <c r="N84">
        <v>1</v>
      </c>
      <c r="O84" t="s">
        <v>38</v>
      </c>
    </row>
    <row r="85" spans="1:15" x14ac:dyDescent="0.3">
      <c r="A85">
        <v>278</v>
      </c>
      <c r="B85" t="s">
        <v>21</v>
      </c>
      <c r="C85" t="s">
        <v>22</v>
      </c>
      <c r="D85">
        <v>2013</v>
      </c>
      <c r="E85">
        <v>1</v>
      </c>
      <c r="F85" t="s">
        <v>52</v>
      </c>
      <c r="G85">
        <v>291333.15585099999</v>
      </c>
      <c r="H85">
        <v>418000</v>
      </c>
      <c r="I85">
        <v>239000</v>
      </c>
      <c r="J85">
        <v>-126666.844149</v>
      </c>
      <c r="K85">
        <v>69.696927000000002</v>
      </c>
      <c r="L85">
        <v>19</v>
      </c>
      <c r="M85" t="s">
        <v>37</v>
      </c>
      <c r="N85">
        <v>1</v>
      </c>
      <c r="O85" t="s">
        <v>38</v>
      </c>
    </row>
    <row r="86" spans="1:15" x14ac:dyDescent="0.3">
      <c r="A86">
        <v>289</v>
      </c>
      <c r="B86" t="s">
        <v>44</v>
      </c>
      <c r="C86" t="s">
        <v>45</v>
      </c>
      <c r="D86">
        <v>2013</v>
      </c>
      <c r="E86">
        <v>1</v>
      </c>
      <c r="F86" t="s">
        <v>52</v>
      </c>
      <c r="G86">
        <v>1009427.290356</v>
      </c>
      <c r="H86">
        <v>1279000</v>
      </c>
      <c r="I86">
        <v>938000</v>
      </c>
      <c r="J86">
        <v>-269572.70964399999</v>
      </c>
      <c r="K86">
        <v>78.923164999999997</v>
      </c>
      <c r="L86">
        <v>39</v>
      </c>
      <c r="M86" t="s">
        <v>37</v>
      </c>
      <c r="N86">
        <v>1</v>
      </c>
      <c r="O86" t="s">
        <v>38</v>
      </c>
    </row>
    <row r="87" spans="1:15" x14ac:dyDescent="0.3">
      <c r="A87">
        <v>277</v>
      </c>
      <c r="B87" t="s">
        <v>23</v>
      </c>
      <c r="C87" t="s">
        <v>24</v>
      </c>
      <c r="D87">
        <v>2013</v>
      </c>
      <c r="E87">
        <v>1</v>
      </c>
      <c r="F87" t="s">
        <v>52</v>
      </c>
      <c r="G87">
        <v>970385.395303</v>
      </c>
      <c r="H87">
        <v>1369000</v>
      </c>
      <c r="I87">
        <v>839000</v>
      </c>
      <c r="J87">
        <v>-398614.604697</v>
      </c>
      <c r="K87">
        <v>70.88279</v>
      </c>
      <c r="L87">
        <v>44</v>
      </c>
      <c r="M87" t="s">
        <v>37</v>
      </c>
      <c r="N87">
        <v>1</v>
      </c>
      <c r="O87" t="s">
        <v>38</v>
      </c>
    </row>
    <row r="88" spans="1:15" x14ac:dyDescent="0.3">
      <c r="A88">
        <v>282</v>
      </c>
      <c r="B88" t="s">
        <v>25</v>
      </c>
      <c r="C88" t="s">
        <v>22</v>
      </c>
      <c r="D88">
        <v>2013</v>
      </c>
      <c r="E88">
        <v>1</v>
      </c>
      <c r="F88" t="s">
        <v>52</v>
      </c>
      <c r="G88">
        <v>231990.92940399999</v>
      </c>
      <c r="H88">
        <v>247000</v>
      </c>
      <c r="I88">
        <v>288000</v>
      </c>
      <c r="J88">
        <v>-15009.070596</v>
      </c>
      <c r="K88">
        <v>93.923452999999995</v>
      </c>
      <c r="L88">
        <v>14</v>
      </c>
      <c r="M88" t="s">
        <v>37</v>
      </c>
      <c r="N88">
        <v>1</v>
      </c>
      <c r="O88" t="s">
        <v>38</v>
      </c>
    </row>
    <row r="89" spans="1:15" x14ac:dyDescent="0.3">
      <c r="A89">
        <v>276</v>
      </c>
      <c r="B89" t="s">
        <v>26</v>
      </c>
      <c r="C89" t="s">
        <v>27</v>
      </c>
      <c r="D89">
        <v>2013</v>
      </c>
      <c r="E89">
        <v>1</v>
      </c>
      <c r="F89" t="s">
        <v>52</v>
      </c>
      <c r="G89">
        <v>867853.025517</v>
      </c>
      <c r="H89">
        <v>1021000</v>
      </c>
      <c r="I89">
        <v>860000</v>
      </c>
      <c r="J89">
        <v>-153146.974483</v>
      </c>
      <c r="K89">
        <v>85.000296000000006</v>
      </c>
      <c r="L89">
        <v>42</v>
      </c>
      <c r="M89" t="s">
        <v>37</v>
      </c>
      <c r="N89">
        <v>1</v>
      </c>
      <c r="O89" t="s">
        <v>38</v>
      </c>
    </row>
    <row r="90" spans="1:15" x14ac:dyDescent="0.3">
      <c r="A90">
        <v>275</v>
      </c>
      <c r="B90" t="s">
        <v>28</v>
      </c>
      <c r="C90" t="s">
        <v>29</v>
      </c>
      <c r="D90">
        <v>2013</v>
      </c>
      <c r="E90">
        <v>1</v>
      </c>
      <c r="F90" t="s">
        <v>52</v>
      </c>
      <c r="G90">
        <v>951855.74982699996</v>
      </c>
      <c r="H90">
        <v>1194000</v>
      </c>
      <c r="I90">
        <v>729000</v>
      </c>
      <c r="J90">
        <v>-242144.25017300001</v>
      </c>
      <c r="K90">
        <v>79.719911999999994</v>
      </c>
      <c r="L90">
        <v>42</v>
      </c>
      <c r="M90" t="s">
        <v>37</v>
      </c>
      <c r="N90">
        <v>1</v>
      </c>
      <c r="O90" t="s">
        <v>38</v>
      </c>
    </row>
    <row r="91" spans="1:15" x14ac:dyDescent="0.3">
      <c r="A91">
        <v>280</v>
      </c>
      <c r="B91" t="s">
        <v>30</v>
      </c>
      <c r="C91" t="s">
        <v>16</v>
      </c>
      <c r="D91">
        <v>2013</v>
      </c>
      <c r="E91">
        <v>1</v>
      </c>
      <c r="F91" t="s">
        <v>52</v>
      </c>
      <c r="G91">
        <v>83579.749299999996</v>
      </c>
      <c r="H91">
        <v>224000</v>
      </c>
      <c r="I91">
        <v>190000</v>
      </c>
      <c r="J91">
        <v>-140420.2507</v>
      </c>
      <c r="K91">
        <v>37.312387999999999</v>
      </c>
      <c r="L91">
        <v>3</v>
      </c>
      <c r="M91" t="s">
        <v>37</v>
      </c>
      <c r="N91">
        <v>1</v>
      </c>
      <c r="O91" t="s">
        <v>38</v>
      </c>
    </row>
    <row r="92" spans="1:15" x14ac:dyDescent="0.3">
      <c r="A92">
        <v>290</v>
      </c>
      <c r="B92" t="s">
        <v>46</v>
      </c>
      <c r="C92" t="s">
        <v>47</v>
      </c>
      <c r="D92">
        <v>2013</v>
      </c>
      <c r="E92">
        <v>1</v>
      </c>
      <c r="F92" t="s">
        <v>52</v>
      </c>
      <c r="G92">
        <v>304924.62437999999</v>
      </c>
      <c r="H92">
        <v>404000</v>
      </c>
      <c r="I92">
        <v>217000</v>
      </c>
      <c r="J92">
        <v>-99075.375620000006</v>
      </c>
      <c r="K92">
        <v>75.476392000000004</v>
      </c>
      <c r="L92">
        <v>16</v>
      </c>
      <c r="M92" t="s">
        <v>37</v>
      </c>
      <c r="N92">
        <v>1</v>
      </c>
      <c r="O92" t="s">
        <v>38</v>
      </c>
    </row>
    <row r="93" spans="1:15" x14ac:dyDescent="0.3">
      <c r="A93">
        <v>281</v>
      </c>
      <c r="B93" t="s">
        <v>31</v>
      </c>
      <c r="C93" t="s">
        <v>27</v>
      </c>
      <c r="D93">
        <v>2013</v>
      </c>
      <c r="E93">
        <v>1</v>
      </c>
      <c r="F93" t="s">
        <v>52</v>
      </c>
      <c r="G93">
        <v>468606.86293599999</v>
      </c>
      <c r="H93">
        <v>555000</v>
      </c>
      <c r="I93">
        <v>470000</v>
      </c>
      <c r="J93">
        <v>-86393.137063999995</v>
      </c>
      <c r="K93">
        <v>84.433667999999997</v>
      </c>
      <c r="L93">
        <v>19</v>
      </c>
      <c r="M93" t="s">
        <v>37</v>
      </c>
      <c r="N93">
        <v>1</v>
      </c>
      <c r="O93" t="s">
        <v>38</v>
      </c>
    </row>
    <row r="94" spans="1:15" x14ac:dyDescent="0.3">
      <c r="A94">
        <v>274</v>
      </c>
      <c r="B94" t="s">
        <v>32</v>
      </c>
      <c r="C94" t="s">
        <v>33</v>
      </c>
      <c r="D94">
        <v>2013</v>
      </c>
      <c r="E94">
        <v>1</v>
      </c>
      <c r="F94" t="s">
        <v>52</v>
      </c>
      <c r="G94">
        <v>48509.512349999997</v>
      </c>
      <c r="H94">
        <v>58000</v>
      </c>
      <c r="I94">
        <v>107000</v>
      </c>
      <c r="J94">
        <v>-9490.4876499999991</v>
      </c>
      <c r="K94">
        <v>83.637090000000001</v>
      </c>
      <c r="L94">
        <v>3</v>
      </c>
      <c r="M94" t="s">
        <v>37</v>
      </c>
      <c r="N94">
        <v>1</v>
      </c>
      <c r="O94" t="s">
        <v>38</v>
      </c>
    </row>
    <row r="95" spans="1:15" x14ac:dyDescent="0.3">
      <c r="A95">
        <v>284</v>
      </c>
      <c r="B95" t="s">
        <v>50</v>
      </c>
      <c r="C95" t="s">
        <v>16</v>
      </c>
      <c r="D95">
        <v>2013</v>
      </c>
      <c r="E95">
        <v>1</v>
      </c>
      <c r="F95" t="s">
        <v>52</v>
      </c>
      <c r="G95">
        <v>258864.294604</v>
      </c>
      <c r="H95">
        <v>304000</v>
      </c>
      <c r="I95">
        <v>281000</v>
      </c>
      <c r="J95">
        <v>-45135.705395999998</v>
      </c>
      <c r="K95">
        <v>85.152727999999996</v>
      </c>
      <c r="L95">
        <v>16</v>
      </c>
      <c r="M95" t="s">
        <v>37</v>
      </c>
      <c r="N95">
        <v>1</v>
      </c>
      <c r="O95" t="s">
        <v>38</v>
      </c>
    </row>
    <row r="96" spans="1:15" x14ac:dyDescent="0.3">
      <c r="A96">
        <v>279</v>
      </c>
      <c r="B96" t="s">
        <v>34</v>
      </c>
      <c r="C96" t="s">
        <v>35</v>
      </c>
      <c r="D96">
        <v>2013</v>
      </c>
      <c r="E96">
        <v>1</v>
      </c>
      <c r="F96" t="s">
        <v>52</v>
      </c>
      <c r="G96">
        <v>511124.11680999998</v>
      </c>
      <c r="H96">
        <v>572000</v>
      </c>
      <c r="I96">
        <v>571000</v>
      </c>
      <c r="J96">
        <v>-60875.88319</v>
      </c>
      <c r="K96">
        <v>89.357363000000007</v>
      </c>
      <c r="L96">
        <v>38</v>
      </c>
      <c r="M96" t="s">
        <v>37</v>
      </c>
      <c r="N96">
        <v>1</v>
      </c>
      <c r="O96" t="s">
        <v>38</v>
      </c>
    </row>
    <row r="97" spans="1:15" x14ac:dyDescent="0.3">
      <c r="A97">
        <v>287</v>
      </c>
      <c r="B97" t="s">
        <v>42</v>
      </c>
      <c r="C97" t="s">
        <v>33</v>
      </c>
      <c r="D97">
        <v>2013</v>
      </c>
      <c r="E97">
        <v>2</v>
      </c>
      <c r="F97" t="s">
        <v>53</v>
      </c>
      <c r="G97">
        <v>161203.65286900001</v>
      </c>
      <c r="H97">
        <v>184000</v>
      </c>
      <c r="I97">
        <v>110000</v>
      </c>
      <c r="J97">
        <v>-22796.347130999999</v>
      </c>
      <c r="K97">
        <v>87.610680000000002</v>
      </c>
      <c r="L97">
        <v>8</v>
      </c>
      <c r="M97" t="s">
        <v>37</v>
      </c>
      <c r="N97">
        <v>1</v>
      </c>
      <c r="O97" t="s">
        <v>38</v>
      </c>
    </row>
    <row r="98" spans="1:15" x14ac:dyDescent="0.3">
      <c r="A98">
        <v>283</v>
      </c>
      <c r="B98" t="s">
        <v>15</v>
      </c>
      <c r="C98" t="s">
        <v>16</v>
      </c>
      <c r="D98">
        <v>2013</v>
      </c>
      <c r="E98">
        <v>2</v>
      </c>
      <c r="F98" t="s">
        <v>53</v>
      </c>
      <c r="G98">
        <v>358328.98625999998</v>
      </c>
      <c r="H98">
        <v>631000</v>
      </c>
      <c r="I98">
        <v>284000</v>
      </c>
      <c r="J98">
        <v>-272671.01374000002</v>
      </c>
      <c r="K98">
        <v>56.787478</v>
      </c>
      <c r="L98">
        <v>14</v>
      </c>
      <c r="M98" t="s">
        <v>37</v>
      </c>
      <c r="N98">
        <v>1</v>
      </c>
      <c r="O98" t="s">
        <v>38</v>
      </c>
    </row>
    <row r="99" spans="1:15" x14ac:dyDescent="0.3">
      <c r="A99">
        <v>278</v>
      </c>
      <c r="B99" t="s">
        <v>21</v>
      </c>
      <c r="C99" t="s">
        <v>22</v>
      </c>
      <c r="D99">
        <v>2013</v>
      </c>
      <c r="E99">
        <v>2</v>
      </c>
      <c r="F99" t="s">
        <v>53</v>
      </c>
      <c r="G99">
        <v>367732.46363399999</v>
      </c>
      <c r="H99">
        <v>507000</v>
      </c>
      <c r="I99">
        <v>418000</v>
      </c>
      <c r="J99">
        <v>-139267.53636599999</v>
      </c>
      <c r="K99">
        <v>72.531057000000004</v>
      </c>
      <c r="L99">
        <v>21</v>
      </c>
      <c r="M99" t="s">
        <v>37</v>
      </c>
      <c r="N99">
        <v>1</v>
      </c>
      <c r="O99" t="s">
        <v>38</v>
      </c>
    </row>
    <row r="100" spans="1:15" x14ac:dyDescent="0.3">
      <c r="A100">
        <v>289</v>
      </c>
      <c r="B100" t="s">
        <v>44</v>
      </c>
      <c r="C100" t="s">
        <v>45</v>
      </c>
      <c r="D100">
        <v>2013</v>
      </c>
      <c r="E100">
        <v>2</v>
      </c>
      <c r="F100" t="s">
        <v>53</v>
      </c>
      <c r="G100">
        <v>1127946.7737420001</v>
      </c>
      <c r="H100">
        <v>1506000</v>
      </c>
      <c r="I100">
        <v>1279000</v>
      </c>
      <c r="J100">
        <v>-378053.22625800001</v>
      </c>
      <c r="K100">
        <v>74.896863999999994</v>
      </c>
      <c r="L100">
        <v>40</v>
      </c>
      <c r="M100" t="s">
        <v>37</v>
      </c>
      <c r="N100">
        <v>1</v>
      </c>
      <c r="O100" t="s">
        <v>38</v>
      </c>
    </row>
    <row r="101" spans="1:15" x14ac:dyDescent="0.3">
      <c r="A101">
        <v>277</v>
      </c>
      <c r="B101" t="s">
        <v>23</v>
      </c>
      <c r="C101" t="s">
        <v>24</v>
      </c>
      <c r="D101">
        <v>2013</v>
      </c>
      <c r="E101">
        <v>2</v>
      </c>
      <c r="F101" t="s">
        <v>53</v>
      </c>
      <c r="G101">
        <v>884285.30626400001</v>
      </c>
      <c r="H101">
        <v>1171000</v>
      </c>
      <c r="I101">
        <v>1369000</v>
      </c>
      <c r="J101">
        <v>-286714.69373599999</v>
      </c>
      <c r="K101">
        <v>75.515396999999993</v>
      </c>
      <c r="L101">
        <v>46</v>
      </c>
      <c r="M101" t="s">
        <v>37</v>
      </c>
      <c r="N101">
        <v>1</v>
      </c>
      <c r="O101" t="s">
        <v>38</v>
      </c>
    </row>
    <row r="102" spans="1:15" x14ac:dyDescent="0.3">
      <c r="A102">
        <v>282</v>
      </c>
      <c r="B102" t="s">
        <v>25</v>
      </c>
      <c r="C102" t="s">
        <v>22</v>
      </c>
      <c r="D102">
        <v>2013</v>
      </c>
      <c r="E102">
        <v>2</v>
      </c>
      <c r="F102" t="s">
        <v>53</v>
      </c>
      <c r="G102">
        <v>424325.98843099998</v>
      </c>
      <c r="H102">
        <v>1051000</v>
      </c>
      <c r="I102">
        <v>247000</v>
      </c>
      <c r="J102">
        <v>-626674.01156899997</v>
      </c>
      <c r="K102">
        <v>40.373547000000002</v>
      </c>
      <c r="L102">
        <v>21</v>
      </c>
      <c r="M102" t="s">
        <v>37</v>
      </c>
      <c r="N102">
        <v>1</v>
      </c>
      <c r="O102" t="s">
        <v>38</v>
      </c>
    </row>
    <row r="103" spans="1:15" x14ac:dyDescent="0.3">
      <c r="A103">
        <v>276</v>
      </c>
      <c r="B103" t="s">
        <v>26</v>
      </c>
      <c r="C103" t="s">
        <v>27</v>
      </c>
      <c r="D103">
        <v>2013</v>
      </c>
      <c r="E103">
        <v>2</v>
      </c>
      <c r="F103" t="s">
        <v>53</v>
      </c>
      <c r="G103">
        <v>1230961.5550599999</v>
      </c>
      <c r="H103">
        <v>1525000</v>
      </c>
      <c r="I103">
        <v>1021000</v>
      </c>
      <c r="J103">
        <v>-294038.44494000002</v>
      </c>
      <c r="K103">
        <v>80.718789999999998</v>
      </c>
      <c r="L103">
        <v>36</v>
      </c>
      <c r="M103" t="s">
        <v>37</v>
      </c>
      <c r="N103">
        <v>1</v>
      </c>
      <c r="O103" t="s">
        <v>38</v>
      </c>
    </row>
    <row r="104" spans="1:15" x14ac:dyDescent="0.3">
      <c r="A104">
        <v>286</v>
      </c>
      <c r="B104" t="s">
        <v>54</v>
      </c>
      <c r="C104" t="s">
        <v>55</v>
      </c>
      <c r="D104">
        <v>2013</v>
      </c>
      <c r="E104">
        <v>2</v>
      </c>
      <c r="F104" t="s">
        <v>53</v>
      </c>
      <c r="G104">
        <v>184105.69601399999</v>
      </c>
      <c r="H104">
        <v>478000</v>
      </c>
      <c r="I104" t="s">
        <v>18</v>
      </c>
      <c r="J104">
        <v>-293894.30398600001</v>
      </c>
      <c r="K104">
        <v>38.515835000000003</v>
      </c>
      <c r="L104">
        <v>17</v>
      </c>
      <c r="M104" t="s">
        <v>37</v>
      </c>
      <c r="N104">
        <v>1</v>
      </c>
      <c r="O104" t="s">
        <v>20</v>
      </c>
    </row>
    <row r="105" spans="1:15" x14ac:dyDescent="0.3">
      <c r="A105">
        <v>275</v>
      </c>
      <c r="B105" t="s">
        <v>28</v>
      </c>
      <c r="C105" t="s">
        <v>29</v>
      </c>
      <c r="D105">
        <v>2013</v>
      </c>
      <c r="E105">
        <v>2</v>
      </c>
      <c r="F105" t="s">
        <v>53</v>
      </c>
      <c r="G105">
        <v>1025678.799838</v>
      </c>
      <c r="H105">
        <v>1575000</v>
      </c>
      <c r="I105">
        <v>1194000</v>
      </c>
      <c r="J105">
        <v>-549321.20016200002</v>
      </c>
      <c r="K105">
        <v>65.122462999999996</v>
      </c>
      <c r="L105">
        <v>43</v>
      </c>
      <c r="M105" t="s">
        <v>37</v>
      </c>
      <c r="N105">
        <v>1</v>
      </c>
      <c r="O105" t="s">
        <v>38</v>
      </c>
    </row>
    <row r="106" spans="1:15" x14ac:dyDescent="0.3">
      <c r="A106">
        <v>280</v>
      </c>
      <c r="B106" t="s">
        <v>30</v>
      </c>
      <c r="C106" t="s">
        <v>16</v>
      </c>
      <c r="D106">
        <v>2013</v>
      </c>
      <c r="E106">
        <v>2</v>
      </c>
      <c r="F106" t="s">
        <v>53</v>
      </c>
      <c r="G106">
        <v>204957.76534700001</v>
      </c>
      <c r="H106">
        <v>319000</v>
      </c>
      <c r="I106">
        <v>224000</v>
      </c>
      <c r="J106">
        <v>-114042.23465300001</v>
      </c>
      <c r="K106">
        <v>64.250083000000004</v>
      </c>
      <c r="L106">
        <v>4</v>
      </c>
      <c r="M106" t="s">
        <v>37</v>
      </c>
      <c r="N106">
        <v>1</v>
      </c>
      <c r="O106" t="s">
        <v>38</v>
      </c>
    </row>
    <row r="107" spans="1:15" x14ac:dyDescent="0.3">
      <c r="A107">
        <v>288</v>
      </c>
      <c r="B107" t="s">
        <v>56</v>
      </c>
      <c r="C107" t="s">
        <v>57</v>
      </c>
      <c r="D107">
        <v>2013</v>
      </c>
      <c r="E107">
        <v>2</v>
      </c>
      <c r="F107" t="s">
        <v>53</v>
      </c>
      <c r="G107">
        <v>371973.19667600002</v>
      </c>
      <c r="H107">
        <v>728000</v>
      </c>
      <c r="I107" t="s">
        <v>18</v>
      </c>
      <c r="J107">
        <v>-356026.80332399998</v>
      </c>
      <c r="K107">
        <v>51.095219</v>
      </c>
      <c r="L107">
        <v>21</v>
      </c>
      <c r="M107" t="s">
        <v>37</v>
      </c>
      <c r="N107">
        <v>1</v>
      </c>
      <c r="O107" t="s">
        <v>20</v>
      </c>
    </row>
    <row r="108" spans="1:15" x14ac:dyDescent="0.3">
      <c r="A108">
        <v>290</v>
      </c>
      <c r="B108" t="s">
        <v>46</v>
      </c>
      <c r="C108" t="s">
        <v>47</v>
      </c>
      <c r="D108">
        <v>2013</v>
      </c>
      <c r="E108">
        <v>2</v>
      </c>
      <c r="F108" t="s">
        <v>53</v>
      </c>
      <c r="G108">
        <v>829395.81539</v>
      </c>
      <c r="H108">
        <v>1262000</v>
      </c>
      <c r="I108">
        <v>404000</v>
      </c>
      <c r="J108">
        <v>-432604.18461</v>
      </c>
      <c r="K108">
        <v>65.720746000000005</v>
      </c>
      <c r="L108">
        <v>24</v>
      </c>
      <c r="M108" t="s">
        <v>37</v>
      </c>
      <c r="N108">
        <v>1</v>
      </c>
      <c r="O108" t="s">
        <v>38</v>
      </c>
    </row>
    <row r="109" spans="1:15" x14ac:dyDescent="0.3">
      <c r="A109">
        <v>281</v>
      </c>
      <c r="B109" t="s">
        <v>31</v>
      </c>
      <c r="C109" t="s">
        <v>27</v>
      </c>
      <c r="D109">
        <v>2013</v>
      </c>
      <c r="E109">
        <v>2</v>
      </c>
      <c r="F109" t="s">
        <v>53</v>
      </c>
      <c r="G109">
        <v>721510.35354899999</v>
      </c>
      <c r="H109">
        <v>935000</v>
      </c>
      <c r="I109">
        <v>555000</v>
      </c>
      <c r="J109">
        <v>-213489.64645100001</v>
      </c>
      <c r="K109">
        <v>77.166882000000001</v>
      </c>
      <c r="L109">
        <v>26</v>
      </c>
      <c r="M109" t="s">
        <v>37</v>
      </c>
      <c r="N109">
        <v>1</v>
      </c>
      <c r="O109" t="s">
        <v>38</v>
      </c>
    </row>
    <row r="110" spans="1:15" x14ac:dyDescent="0.3">
      <c r="A110">
        <v>274</v>
      </c>
      <c r="B110" t="s">
        <v>32</v>
      </c>
      <c r="C110" t="s">
        <v>33</v>
      </c>
      <c r="D110">
        <v>2013</v>
      </c>
      <c r="E110">
        <v>2</v>
      </c>
      <c r="F110" t="s">
        <v>53</v>
      </c>
      <c r="G110">
        <v>130892.575742</v>
      </c>
      <c r="H110">
        <v>263000</v>
      </c>
      <c r="I110">
        <v>58000</v>
      </c>
      <c r="J110">
        <v>-132107.42425800001</v>
      </c>
      <c r="K110">
        <v>49.769039999999997</v>
      </c>
      <c r="L110">
        <v>4</v>
      </c>
      <c r="M110" t="s">
        <v>37</v>
      </c>
      <c r="N110">
        <v>1</v>
      </c>
      <c r="O110" t="s">
        <v>38</v>
      </c>
    </row>
    <row r="111" spans="1:15" x14ac:dyDescent="0.3">
      <c r="A111">
        <v>285</v>
      </c>
      <c r="B111" t="s">
        <v>58</v>
      </c>
      <c r="C111" t="s">
        <v>33</v>
      </c>
      <c r="D111">
        <v>2013</v>
      </c>
      <c r="E111">
        <v>2</v>
      </c>
      <c r="F111" t="s">
        <v>53</v>
      </c>
      <c r="G111">
        <v>0</v>
      </c>
      <c r="H111">
        <v>132000</v>
      </c>
      <c r="I111" t="s">
        <v>18</v>
      </c>
      <c r="J111">
        <v>-132000</v>
      </c>
      <c r="K111">
        <v>0</v>
      </c>
      <c r="L111">
        <v>0</v>
      </c>
      <c r="M111" t="s">
        <v>59</v>
      </c>
      <c r="N111">
        <v>1</v>
      </c>
      <c r="O111" t="s">
        <v>20</v>
      </c>
    </row>
    <row r="112" spans="1:15" x14ac:dyDescent="0.3">
      <c r="A112">
        <v>284</v>
      </c>
      <c r="B112" t="s">
        <v>50</v>
      </c>
      <c r="C112" t="s">
        <v>16</v>
      </c>
      <c r="D112">
        <v>2013</v>
      </c>
      <c r="E112">
        <v>2</v>
      </c>
      <c r="F112" t="s">
        <v>53</v>
      </c>
      <c r="G112">
        <v>258495.641431</v>
      </c>
      <c r="H112">
        <v>516000</v>
      </c>
      <c r="I112">
        <v>304000</v>
      </c>
      <c r="J112">
        <v>-257504.358569</v>
      </c>
      <c r="K112">
        <v>50.096054000000002</v>
      </c>
      <c r="L112">
        <v>18</v>
      </c>
      <c r="M112" t="s">
        <v>37</v>
      </c>
      <c r="N112">
        <v>1</v>
      </c>
      <c r="O112" t="s">
        <v>38</v>
      </c>
    </row>
    <row r="113" spans="1:15" x14ac:dyDescent="0.3">
      <c r="A113">
        <v>279</v>
      </c>
      <c r="B113" t="s">
        <v>34</v>
      </c>
      <c r="C113" t="s">
        <v>35</v>
      </c>
      <c r="D113">
        <v>2013</v>
      </c>
      <c r="E113">
        <v>2</v>
      </c>
      <c r="F113" t="s">
        <v>53</v>
      </c>
      <c r="G113">
        <v>594429.61442700005</v>
      </c>
      <c r="H113">
        <v>950000</v>
      </c>
      <c r="I113">
        <v>572000</v>
      </c>
      <c r="J113">
        <v>-355570.38557300001</v>
      </c>
      <c r="K113">
        <v>62.571537999999997</v>
      </c>
      <c r="L113">
        <v>40</v>
      </c>
      <c r="M113" t="s">
        <v>37</v>
      </c>
      <c r="N113">
        <v>1</v>
      </c>
      <c r="O113" t="s">
        <v>38</v>
      </c>
    </row>
    <row r="114" spans="1:15" x14ac:dyDescent="0.3">
      <c r="A114">
        <v>287</v>
      </c>
      <c r="B114" t="s">
        <v>42</v>
      </c>
      <c r="C114" t="s">
        <v>33</v>
      </c>
      <c r="D114">
        <v>2013</v>
      </c>
      <c r="E114">
        <v>3</v>
      </c>
      <c r="F114" t="s">
        <v>60</v>
      </c>
      <c r="G114">
        <v>90221.761050000001</v>
      </c>
      <c r="H114">
        <v>324000</v>
      </c>
      <c r="I114">
        <v>184000</v>
      </c>
      <c r="J114">
        <v>-233778.23895</v>
      </c>
      <c r="K114">
        <v>27.846222000000001</v>
      </c>
      <c r="L114">
        <v>8</v>
      </c>
      <c r="M114" t="s">
        <v>37</v>
      </c>
      <c r="N114">
        <v>1</v>
      </c>
      <c r="O114" t="s">
        <v>38</v>
      </c>
    </row>
    <row r="115" spans="1:15" x14ac:dyDescent="0.3">
      <c r="A115">
        <v>283</v>
      </c>
      <c r="B115" t="s">
        <v>15</v>
      </c>
      <c r="C115" t="s">
        <v>16</v>
      </c>
      <c r="D115">
        <v>2013</v>
      </c>
      <c r="E115">
        <v>3</v>
      </c>
      <c r="F115" t="s">
        <v>60</v>
      </c>
      <c r="G115">
        <v>398257.98922400002</v>
      </c>
      <c r="H115">
        <v>372000</v>
      </c>
      <c r="I115">
        <v>631000</v>
      </c>
      <c r="J115">
        <v>26257.989224000001</v>
      </c>
      <c r="K115">
        <v>107.058599</v>
      </c>
      <c r="L115">
        <v>20</v>
      </c>
      <c r="M115" t="s">
        <v>37</v>
      </c>
      <c r="N115">
        <v>1</v>
      </c>
      <c r="O115" t="s">
        <v>38</v>
      </c>
    </row>
    <row r="116" spans="1:15" x14ac:dyDescent="0.3">
      <c r="A116">
        <v>278</v>
      </c>
      <c r="B116" t="s">
        <v>21</v>
      </c>
      <c r="C116" t="s">
        <v>22</v>
      </c>
      <c r="D116">
        <v>2013</v>
      </c>
      <c r="E116">
        <v>3</v>
      </c>
      <c r="F116" t="s">
        <v>60</v>
      </c>
      <c r="G116">
        <v>393787.523094</v>
      </c>
      <c r="H116">
        <v>453000</v>
      </c>
      <c r="I116">
        <v>507000</v>
      </c>
      <c r="J116">
        <v>-59212.476906000004</v>
      </c>
      <c r="K116">
        <v>86.928813000000005</v>
      </c>
      <c r="L116">
        <v>25</v>
      </c>
      <c r="M116" t="s">
        <v>37</v>
      </c>
      <c r="N116">
        <v>1</v>
      </c>
      <c r="O116" t="s">
        <v>38</v>
      </c>
    </row>
    <row r="117" spans="1:15" x14ac:dyDescent="0.3">
      <c r="A117">
        <v>289</v>
      </c>
      <c r="B117" t="s">
        <v>44</v>
      </c>
      <c r="C117" t="s">
        <v>45</v>
      </c>
      <c r="D117">
        <v>2013</v>
      </c>
      <c r="E117">
        <v>3</v>
      </c>
      <c r="F117" t="s">
        <v>60</v>
      </c>
      <c r="G117">
        <v>1034043.925238</v>
      </c>
      <c r="H117">
        <v>1419000</v>
      </c>
      <c r="I117">
        <v>1506000</v>
      </c>
      <c r="J117">
        <v>-384956.074762</v>
      </c>
      <c r="K117">
        <v>72.871312000000003</v>
      </c>
      <c r="L117">
        <v>46</v>
      </c>
      <c r="M117" t="s">
        <v>37</v>
      </c>
      <c r="N117">
        <v>1</v>
      </c>
      <c r="O117" t="s">
        <v>38</v>
      </c>
    </row>
    <row r="118" spans="1:15" x14ac:dyDescent="0.3">
      <c r="A118">
        <v>277</v>
      </c>
      <c r="B118" t="s">
        <v>23</v>
      </c>
      <c r="C118" t="s">
        <v>24</v>
      </c>
      <c r="D118">
        <v>2013</v>
      </c>
      <c r="E118">
        <v>3</v>
      </c>
      <c r="F118" t="s">
        <v>60</v>
      </c>
      <c r="G118">
        <v>884056.13565399998</v>
      </c>
      <c r="H118">
        <v>971000</v>
      </c>
      <c r="I118">
        <v>1171000</v>
      </c>
      <c r="J118">
        <v>-86943.864346000002</v>
      </c>
      <c r="K118">
        <v>91.045945000000003</v>
      </c>
      <c r="L118">
        <v>46</v>
      </c>
      <c r="M118" t="s">
        <v>37</v>
      </c>
      <c r="N118">
        <v>1</v>
      </c>
      <c r="O118" t="s">
        <v>38</v>
      </c>
    </row>
    <row r="119" spans="1:15" x14ac:dyDescent="0.3">
      <c r="A119">
        <v>282</v>
      </c>
      <c r="B119" t="s">
        <v>25</v>
      </c>
      <c r="C119" t="s">
        <v>22</v>
      </c>
      <c r="D119">
        <v>2013</v>
      </c>
      <c r="E119">
        <v>3</v>
      </c>
      <c r="F119" t="s">
        <v>60</v>
      </c>
      <c r="G119">
        <v>748429.955587</v>
      </c>
      <c r="H119">
        <v>707000</v>
      </c>
      <c r="I119">
        <v>1051000</v>
      </c>
      <c r="J119">
        <v>41429.955586999997</v>
      </c>
      <c r="K119">
        <v>105.859965</v>
      </c>
      <c r="L119">
        <v>28</v>
      </c>
      <c r="M119" t="s">
        <v>37</v>
      </c>
      <c r="N119">
        <v>1</v>
      </c>
      <c r="O119" t="s">
        <v>38</v>
      </c>
    </row>
    <row r="120" spans="1:15" x14ac:dyDescent="0.3">
      <c r="A120">
        <v>276</v>
      </c>
      <c r="B120" t="s">
        <v>26</v>
      </c>
      <c r="C120" t="s">
        <v>27</v>
      </c>
      <c r="D120">
        <v>2013</v>
      </c>
      <c r="E120">
        <v>3</v>
      </c>
      <c r="F120" t="s">
        <v>60</v>
      </c>
      <c r="G120">
        <v>1108320.803055</v>
      </c>
      <c r="H120">
        <v>1276000</v>
      </c>
      <c r="I120">
        <v>1525000</v>
      </c>
      <c r="J120">
        <v>-167679.196945</v>
      </c>
      <c r="K120">
        <v>86.858997000000002</v>
      </c>
      <c r="L120">
        <v>43</v>
      </c>
      <c r="M120" t="s">
        <v>37</v>
      </c>
      <c r="N120">
        <v>1</v>
      </c>
      <c r="O120" t="s">
        <v>38</v>
      </c>
    </row>
    <row r="121" spans="1:15" x14ac:dyDescent="0.3">
      <c r="A121">
        <v>286</v>
      </c>
      <c r="B121" t="s">
        <v>54</v>
      </c>
      <c r="C121" t="s">
        <v>55</v>
      </c>
      <c r="D121">
        <v>2013</v>
      </c>
      <c r="E121">
        <v>3</v>
      </c>
      <c r="F121" t="s">
        <v>60</v>
      </c>
      <c r="G121">
        <v>331559.45873399999</v>
      </c>
      <c r="H121">
        <v>389000</v>
      </c>
      <c r="I121">
        <v>478000</v>
      </c>
      <c r="J121">
        <v>-57440.541266</v>
      </c>
      <c r="K121">
        <v>85.233794000000003</v>
      </c>
      <c r="L121">
        <v>24</v>
      </c>
      <c r="M121" t="s">
        <v>37</v>
      </c>
      <c r="N121">
        <v>1</v>
      </c>
      <c r="O121" t="s">
        <v>38</v>
      </c>
    </row>
    <row r="122" spans="1:15" x14ac:dyDescent="0.3">
      <c r="A122">
        <v>275</v>
      </c>
      <c r="B122" t="s">
        <v>28</v>
      </c>
      <c r="C122" t="s">
        <v>29</v>
      </c>
      <c r="D122">
        <v>2013</v>
      </c>
      <c r="E122">
        <v>3</v>
      </c>
      <c r="F122" t="s">
        <v>60</v>
      </c>
      <c r="G122">
        <v>1159160.5968150001</v>
      </c>
      <c r="H122">
        <v>1218000</v>
      </c>
      <c r="I122">
        <v>1575000</v>
      </c>
      <c r="J122">
        <v>-58839.403185000003</v>
      </c>
      <c r="K122">
        <v>95.169178000000002</v>
      </c>
      <c r="L122">
        <v>45</v>
      </c>
      <c r="M122" t="s">
        <v>37</v>
      </c>
      <c r="N122">
        <v>1</v>
      </c>
      <c r="O122" t="s">
        <v>38</v>
      </c>
    </row>
    <row r="123" spans="1:15" x14ac:dyDescent="0.3">
      <c r="A123">
        <v>280</v>
      </c>
      <c r="B123" t="s">
        <v>30</v>
      </c>
      <c r="C123" t="s">
        <v>16</v>
      </c>
      <c r="D123">
        <v>2013</v>
      </c>
      <c r="E123">
        <v>3</v>
      </c>
      <c r="F123" t="s">
        <v>60</v>
      </c>
      <c r="G123">
        <v>350716.23102000001</v>
      </c>
      <c r="H123">
        <v>450000</v>
      </c>
      <c r="I123">
        <v>319000</v>
      </c>
      <c r="J123">
        <v>-99283.768979999993</v>
      </c>
      <c r="K123">
        <v>77.936940000000007</v>
      </c>
      <c r="L123">
        <v>6</v>
      </c>
      <c r="M123" t="s">
        <v>37</v>
      </c>
      <c r="N123">
        <v>1</v>
      </c>
      <c r="O123" t="s">
        <v>38</v>
      </c>
    </row>
    <row r="124" spans="1:15" x14ac:dyDescent="0.3">
      <c r="A124">
        <v>288</v>
      </c>
      <c r="B124" t="s">
        <v>56</v>
      </c>
      <c r="C124" t="s">
        <v>57</v>
      </c>
      <c r="D124">
        <v>2013</v>
      </c>
      <c r="E124">
        <v>3</v>
      </c>
      <c r="F124" t="s">
        <v>60</v>
      </c>
      <c r="G124">
        <v>508242.77132699999</v>
      </c>
      <c r="H124">
        <v>566000</v>
      </c>
      <c r="I124">
        <v>728000</v>
      </c>
      <c r="J124">
        <v>-57757.228672999998</v>
      </c>
      <c r="K124">
        <v>89.795541999999998</v>
      </c>
      <c r="L124">
        <v>33</v>
      </c>
      <c r="M124" t="s">
        <v>37</v>
      </c>
      <c r="N124">
        <v>1</v>
      </c>
      <c r="O124" t="s">
        <v>38</v>
      </c>
    </row>
    <row r="125" spans="1:15" x14ac:dyDescent="0.3">
      <c r="A125">
        <v>290</v>
      </c>
      <c r="B125" t="s">
        <v>46</v>
      </c>
      <c r="C125" t="s">
        <v>47</v>
      </c>
      <c r="D125">
        <v>2013</v>
      </c>
      <c r="E125">
        <v>3</v>
      </c>
      <c r="F125" t="s">
        <v>60</v>
      </c>
      <c r="G125">
        <v>864953.57447700005</v>
      </c>
      <c r="H125">
        <v>1057000</v>
      </c>
      <c r="I125">
        <v>1262000</v>
      </c>
      <c r="J125">
        <v>-192046.42552300001</v>
      </c>
      <c r="K125">
        <v>81.83099</v>
      </c>
      <c r="L125">
        <v>28</v>
      </c>
      <c r="M125" t="s">
        <v>37</v>
      </c>
      <c r="N125">
        <v>1</v>
      </c>
      <c r="O125" t="s">
        <v>38</v>
      </c>
    </row>
    <row r="126" spans="1:15" x14ac:dyDescent="0.3">
      <c r="A126">
        <v>281</v>
      </c>
      <c r="B126" t="s">
        <v>31</v>
      </c>
      <c r="C126" t="s">
        <v>27</v>
      </c>
      <c r="D126">
        <v>2013</v>
      </c>
      <c r="E126">
        <v>3</v>
      </c>
      <c r="F126" t="s">
        <v>60</v>
      </c>
      <c r="G126">
        <v>668519.54403400002</v>
      </c>
      <c r="H126">
        <v>684000</v>
      </c>
      <c r="I126">
        <v>935000</v>
      </c>
      <c r="J126">
        <v>-15480.455966</v>
      </c>
      <c r="K126">
        <v>97.736774999999994</v>
      </c>
      <c r="L126">
        <v>26</v>
      </c>
      <c r="M126" t="s">
        <v>37</v>
      </c>
      <c r="N126">
        <v>1</v>
      </c>
      <c r="O126" t="s">
        <v>38</v>
      </c>
    </row>
    <row r="127" spans="1:15" x14ac:dyDescent="0.3">
      <c r="A127">
        <v>274</v>
      </c>
      <c r="B127" t="s">
        <v>32</v>
      </c>
      <c r="C127" t="s">
        <v>33</v>
      </c>
      <c r="D127">
        <v>2013</v>
      </c>
      <c r="E127">
        <v>3</v>
      </c>
      <c r="F127" t="s">
        <v>60</v>
      </c>
      <c r="G127">
        <v>180871.27629899999</v>
      </c>
      <c r="H127">
        <v>116000</v>
      </c>
      <c r="I127">
        <v>263000</v>
      </c>
      <c r="J127">
        <v>64871.276298999997</v>
      </c>
      <c r="K127">
        <v>155.92351400000001</v>
      </c>
      <c r="L127">
        <v>5</v>
      </c>
      <c r="M127" t="s">
        <v>37</v>
      </c>
      <c r="N127">
        <v>1</v>
      </c>
      <c r="O127" t="s">
        <v>38</v>
      </c>
    </row>
    <row r="128" spans="1:15" x14ac:dyDescent="0.3">
      <c r="A128">
        <v>285</v>
      </c>
      <c r="B128" t="s">
        <v>58</v>
      </c>
      <c r="C128" t="s">
        <v>33</v>
      </c>
      <c r="D128">
        <v>2013</v>
      </c>
      <c r="E128">
        <v>3</v>
      </c>
      <c r="F128" t="s">
        <v>60</v>
      </c>
      <c r="G128">
        <v>114785.81507500001</v>
      </c>
      <c r="H128">
        <v>40000</v>
      </c>
      <c r="I128">
        <v>132000</v>
      </c>
      <c r="J128">
        <v>74785.815075000006</v>
      </c>
      <c r="K128">
        <v>286.96453700000001</v>
      </c>
      <c r="L128">
        <v>7</v>
      </c>
      <c r="M128" t="s">
        <v>37</v>
      </c>
      <c r="N128">
        <v>1</v>
      </c>
      <c r="O128" t="s">
        <v>38</v>
      </c>
    </row>
    <row r="129" spans="1:15" x14ac:dyDescent="0.3">
      <c r="A129">
        <v>284</v>
      </c>
      <c r="B129" t="s">
        <v>50</v>
      </c>
      <c r="C129" t="s">
        <v>16</v>
      </c>
      <c r="D129">
        <v>2013</v>
      </c>
      <c r="E129">
        <v>3</v>
      </c>
      <c r="F129" t="s">
        <v>60</v>
      </c>
      <c r="G129">
        <v>388712.87235299998</v>
      </c>
      <c r="H129">
        <v>380000</v>
      </c>
      <c r="I129">
        <v>516000</v>
      </c>
      <c r="J129">
        <v>8712.8723530000007</v>
      </c>
      <c r="K129">
        <v>102.292861</v>
      </c>
      <c r="L129">
        <v>23</v>
      </c>
      <c r="M129" t="s">
        <v>37</v>
      </c>
      <c r="N129">
        <v>1</v>
      </c>
      <c r="O129" t="s">
        <v>38</v>
      </c>
    </row>
    <row r="130" spans="1:15" x14ac:dyDescent="0.3">
      <c r="A130">
        <v>279</v>
      </c>
      <c r="B130" t="s">
        <v>34</v>
      </c>
      <c r="C130" t="s">
        <v>35</v>
      </c>
      <c r="D130">
        <v>2013</v>
      </c>
      <c r="E130">
        <v>3</v>
      </c>
      <c r="F130" t="s">
        <v>60</v>
      </c>
      <c r="G130">
        <v>595517.46761599998</v>
      </c>
      <c r="H130">
        <v>675000</v>
      </c>
      <c r="I130">
        <v>950000</v>
      </c>
      <c r="J130">
        <v>-79482.532384000006</v>
      </c>
      <c r="K130">
        <v>88.224810000000005</v>
      </c>
      <c r="L130">
        <v>41</v>
      </c>
      <c r="M130" t="s">
        <v>37</v>
      </c>
      <c r="N130">
        <v>1</v>
      </c>
      <c r="O130" t="s">
        <v>38</v>
      </c>
    </row>
    <row r="131" spans="1:15" x14ac:dyDescent="0.3">
      <c r="A131">
        <v>287</v>
      </c>
      <c r="B131" t="s">
        <v>42</v>
      </c>
      <c r="C131" t="s">
        <v>33</v>
      </c>
      <c r="D131">
        <v>2013</v>
      </c>
      <c r="E131">
        <v>4</v>
      </c>
      <c r="F131" t="s">
        <v>61</v>
      </c>
      <c r="G131">
        <v>263208.027038</v>
      </c>
      <c r="H131">
        <v>116000</v>
      </c>
      <c r="I131">
        <v>324000</v>
      </c>
      <c r="J131">
        <v>147208.027038</v>
      </c>
      <c r="K131">
        <v>226.903471</v>
      </c>
      <c r="L131">
        <v>10</v>
      </c>
      <c r="M131" t="s">
        <v>37</v>
      </c>
      <c r="N131">
        <v>1</v>
      </c>
      <c r="O131" t="s">
        <v>38</v>
      </c>
    </row>
    <row r="132" spans="1:15" x14ac:dyDescent="0.3">
      <c r="A132">
        <v>283</v>
      </c>
      <c r="B132" t="s">
        <v>15</v>
      </c>
      <c r="C132" t="s">
        <v>16</v>
      </c>
      <c r="D132">
        <v>2013</v>
      </c>
      <c r="E132">
        <v>4</v>
      </c>
      <c r="F132" t="s">
        <v>61</v>
      </c>
      <c r="G132">
        <v>328762.24115800002</v>
      </c>
      <c r="H132">
        <v>234000</v>
      </c>
      <c r="I132">
        <v>372000</v>
      </c>
      <c r="J132">
        <v>94762.241158000004</v>
      </c>
      <c r="K132">
        <v>140.49668399999999</v>
      </c>
      <c r="L132">
        <v>22</v>
      </c>
      <c r="M132" t="s">
        <v>37</v>
      </c>
      <c r="N132">
        <v>1</v>
      </c>
      <c r="O132" t="s">
        <v>38</v>
      </c>
    </row>
    <row r="133" spans="1:15" x14ac:dyDescent="0.3">
      <c r="A133">
        <v>278</v>
      </c>
      <c r="B133" t="s">
        <v>21</v>
      </c>
      <c r="C133" t="s">
        <v>22</v>
      </c>
      <c r="D133">
        <v>2013</v>
      </c>
      <c r="E133">
        <v>4</v>
      </c>
      <c r="F133" t="s">
        <v>61</v>
      </c>
      <c r="G133">
        <v>336983.66746099998</v>
      </c>
      <c r="H133">
        <v>280000</v>
      </c>
      <c r="I133">
        <v>453000</v>
      </c>
      <c r="J133">
        <v>56983.667460999997</v>
      </c>
      <c r="K133">
        <v>120.351309</v>
      </c>
      <c r="L133">
        <v>24</v>
      </c>
      <c r="M133" t="s">
        <v>37</v>
      </c>
      <c r="N133">
        <v>1</v>
      </c>
      <c r="O133" t="s">
        <v>38</v>
      </c>
    </row>
    <row r="134" spans="1:15" x14ac:dyDescent="0.3">
      <c r="A134">
        <v>289</v>
      </c>
      <c r="B134" t="s">
        <v>44</v>
      </c>
      <c r="C134" t="s">
        <v>45</v>
      </c>
      <c r="D134">
        <v>2013</v>
      </c>
      <c r="E134">
        <v>4</v>
      </c>
      <c r="F134" t="s">
        <v>61</v>
      </c>
      <c r="G134">
        <v>934646.02521999995</v>
      </c>
      <c r="H134">
        <v>883000</v>
      </c>
      <c r="I134">
        <v>1419000</v>
      </c>
      <c r="J134">
        <v>51646.025220000003</v>
      </c>
      <c r="K134">
        <v>105.84892600000001</v>
      </c>
      <c r="L134">
        <v>45</v>
      </c>
      <c r="M134" t="s">
        <v>37</v>
      </c>
      <c r="N134">
        <v>1</v>
      </c>
      <c r="O134" t="s">
        <v>38</v>
      </c>
    </row>
    <row r="135" spans="1:15" x14ac:dyDescent="0.3">
      <c r="A135">
        <v>277</v>
      </c>
      <c r="B135" t="s">
        <v>23</v>
      </c>
      <c r="C135" t="s">
        <v>24</v>
      </c>
      <c r="D135">
        <v>2013</v>
      </c>
      <c r="E135">
        <v>4</v>
      </c>
      <c r="F135" t="s">
        <v>61</v>
      </c>
      <c r="G135">
        <v>658049.43006899999</v>
      </c>
      <c r="H135">
        <v>714000</v>
      </c>
      <c r="I135">
        <v>971000</v>
      </c>
      <c r="J135">
        <v>-55950.569930999998</v>
      </c>
      <c r="K135">
        <v>92.163785000000004</v>
      </c>
      <c r="L135">
        <v>49</v>
      </c>
      <c r="M135" t="s">
        <v>37</v>
      </c>
      <c r="N135">
        <v>1</v>
      </c>
      <c r="O135" t="s">
        <v>38</v>
      </c>
    </row>
    <row r="136" spans="1:15" x14ac:dyDescent="0.3">
      <c r="A136">
        <v>282</v>
      </c>
      <c r="B136" t="s">
        <v>25</v>
      </c>
      <c r="C136" t="s">
        <v>22</v>
      </c>
      <c r="D136">
        <v>2013</v>
      </c>
      <c r="E136">
        <v>4</v>
      </c>
      <c r="F136" t="s">
        <v>61</v>
      </c>
      <c r="G136">
        <v>466137.30854400003</v>
      </c>
      <c r="H136">
        <v>569000</v>
      </c>
      <c r="I136">
        <v>707000</v>
      </c>
      <c r="J136">
        <v>-102862.691456</v>
      </c>
      <c r="K136">
        <v>81.922197999999995</v>
      </c>
      <c r="L136">
        <v>23</v>
      </c>
      <c r="M136" t="s">
        <v>37</v>
      </c>
      <c r="N136">
        <v>1</v>
      </c>
      <c r="O136" t="s">
        <v>38</v>
      </c>
    </row>
    <row r="137" spans="1:15" x14ac:dyDescent="0.3">
      <c r="A137">
        <v>276</v>
      </c>
      <c r="B137" t="s">
        <v>26</v>
      </c>
      <c r="C137" t="s">
        <v>27</v>
      </c>
      <c r="D137">
        <v>2013</v>
      </c>
      <c r="E137">
        <v>4</v>
      </c>
      <c r="F137" t="s">
        <v>61</v>
      </c>
      <c r="G137">
        <v>904159.52171799995</v>
      </c>
      <c r="H137">
        <v>894000</v>
      </c>
      <c r="I137">
        <v>1276000</v>
      </c>
      <c r="J137">
        <v>10159.521718</v>
      </c>
      <c r="K137">
        <v>101.136411</v>
      </c>
      <c r="L137">
        <v>41</v>
      </c>
      <c r="M137" t="s">
        <v>37</v>
      </c>
      <c r="N137">
        <v>1</v>
      </c>
      <c r="O137" t="s">
        <v>38</v>
      </c>
    </row>
    <row r="138" spans="1:15" x14ac:dyDescent="0.3">
      <c r="A138">
        <v>286</v>
      </c>
      <c r="B138" t="s">
        <v>54</v>
      </c>
      <c r="C138" t="s">
        <v>55</v>
      </c>
      <c r="D138">
        <v>2013</v>
      </c>
      <c r="E138">
        <v>4</v>
      </c>
      <c r="F138" t="s">
        <v>61</v>
      </c>
      <c r="G138">
        <v>320389.968566</v>
      </c>
      <c r="H138">
        <v>399000</v>
      </c>
      <c r="I138">
        <v>389000</v>
      </c>
      <c r="J138">
        <v>-78610.031434000004</v>
      </c>
      <c r="K138">
        <v>80.298237</v>
      </c>
      <c r="L138">
        <v>25</v>
      </c>
      <c r="M138" t="s">
        <v>37</v>
      </c>
      <c r="N138">
        <v>1</v>
      </c>
      <c r="O138" t="s">
        <v>38</v>
      </c>
    </row>
    <row r="139" spans="1:15" x14ac:dyDescent="0.3">
      <c r="A139">
        <v>275</v>
      </c>
      <c r="B139" t="s">
        <v>28</v>
      </c>
      <c r="C139" t="s">
        <v>29</v>
      </c>
      <c r="D139">
        <v>2013</v>
      </c>
      <c r="E139">
        <v>4</v>
      </c>
      <c r="F139" t="s">
        <v>61</v>
      </c>
      <c r="G139">
        <v>848679.75297300005</v>
      </c>
      <c r="H139">
        <v>849000</v>
      </c>
      <c r="I139">
        <v>1218000</v>
      </c>
      <c r="J139">
        <v>-320.247027</v>
      </c>
      <c r="K139">
        <v>99.962278999999995</v>
      </c>
      <c r="L139">
        <v>45</v>
      </c>
      <c r="M139" t="s">
        <v>37</v>
      </c>
      <c r="N139">
        <v>1</v>
      </c>
      <c r="O139" t="s">
        <v>38</v>
      </c>
    </row>
    <row r="140" spans="1:15" x14ac:dyDescent="0.3">
      <c r="A140">
        <v>280</v>
      </c>
      <c r="B140" t="s">
        <v>30</v>
      </c>
      <c r="C140" t="s">
        <v>16</v>
      </c>
      <c r="D140">
        <v>2013</v>
      </c>
      <c r="E140">
        <v>4</v>
      </c>
      <c r="F140" t="s">
        <v>61</v>
      </c>
      <c r="G140">
        <v>324166.83478500001</v>
      </c>
      <c r="H140">
        <v>343000</v>
      </c>
      <c r="I140">
        <v>450000</v>
      </c>
      <c r="J140">
        <v>-18833.165215000001</v>
      </c>
      <c r="K140">
        <v>94.509281000000001</v>
      </c>
      <c r="L140">
        <v>6</v>
      </c>
      <c r="M140" t="s">
        <v>37</v>
      </c>
      <c r="N140">
        <v>1</v>
      </c>
      <c r="O140" t="s">
        <v>38</v>
      </c>
    </row>
    <row r="141" spans="1:15" x14ac:dyDescent="0.3">
      <c r="A141">
        <v>288</v>
      </c>
      <c r="B141" t="s">
        <v>56</v>
      </c>
      <c r="C141" t="s">
        <v>57</v>
      </c>
      <c r="D141">
        <v>2013</v>
      </c>
      <c r="E141">
        <v>4</v>
      </c>
      <c r="F141" t="s">
        <v>61</v>
      </c>
      <c r="G141">
        <v>365242.81155699998</v>
      </c>
      <c r="H141">
        <v>366000</v>
      </c>
      <c r="I141">
        <v>566000</v>
      </c>
      <c r="J141">
        <v>-757.18844300000001</v>
      </c>
      <c r="K141">
        <v>99.793116999999995</v>
      </c>
      <c r="L141">
        <v>32</v>
      </c>
      <c r="M141" t="s">
        <v>37</v>
      </c>
      <c r="N141">
        <v>1</v>
      </c>
      <c r="O141" t="s">
        <v>38</v>
      </c>
    </row>
    <row r="142" spans="1:15" x14ac:dyDescent="0.3">
      <c r="A142">
        <v>290</v>
      </c>
      <c r="B142" t="s">
        <v>46</v>
      </c>
      <c r="C142" t="s">
        <v>47</v>
      </c>
      <c r="D142">
        <v>2013</v>
      </c>
      <c r="E142">
        <v>4</v>
      </c>
      <c r="F142" t="s">
        <v>61</v>
      </c>
      <c r="G142">
        <v>646804.39459399995</v>
      </c>
      <c r="H142">
        <v>707000</v>
      </c>
      <c r="I142">
        <v>1057000</v>
      </c>
      <c r="J142">
        <v>-60195.605406000002</v>
      </c>
      <c r="K142">
        <v>91.485770000000002</v>
      </c>
      <c r="L142">
        <v>26</v>
      </c>
      <c r="M142" t="s">
        <v>37</v>
      </c>
      <c r="N142">
        <v>1</v>
      </c>
      <c r="O142" t="s">
        <v>38</v>
      </c>
    </row>
    <row r="143" spans="1:15" x14ac:dyDescent="0.3">
      <c r="A143">
        <v>281</v>
      </c>
      <c r="B143" t="s">
        <v>31</v>
      </c>
      <c r="C143" t="s">
        <v>27</v>
      </c>
      <c r="D143">
        <v>2013</v>
      </c>
      <c r="E143">
        <v>4</v>
      </c>
      <c r="F143" t="s">
        <v>61</v>
      </c>
      <c r="G143">
        <v>528619.30095299997</v>
      </c>
      <c r="H143">
        <v>614000</v>
      </c>
      <c r="I143">
        <v>684000</v>
      </c>
      <c r="J143">
        <v>-85380.699047000002</v>
      </c>
      <c r="K143">
        <v>86.094347999999997</v>
      </c>
      <c r="L143">
        <v>27</v>
      </c>
      <c r="M143" t="s">
        <v>37</v>
      </c>
      <c r="N143">
        <v>1</v>
      </c>
      <c r="O143" t="s">
        <v>38</v>
      </c>
    </row>
    <row r="144" spans="1:15" x14ac:dyDescent="0.3">
      <c r="A144">
        <v>274</v>
      </c>
      <c r="B144" t="s">
        <v>32</v>
      </c>
      <c r="C144" t="s">
        <v>33</v>
      </c>
      <c r="D144">
        <v>2013</v>
      </c>
      <c r="E144">
        <v>4</v>
      </c>
      <c r="F144" t="s">
        <v>61</v>
      </c>
      <c r="G144">
        <v>70815.359268</v>
      </c>
      <c r="H144">
        <v>84000</v>
      </c>
      <c r="I144">
        <v>116000</v>
      </c>
      <c r="J144">
        <v>-13184.640732</v>
      </c>
      <c r="K144">
        <v>84.303999000000005</v>
      </c>
      <c r="L144">
        <v>2</v>
      </c>
      <c r="M144" t="s">
        <v>37</v>
      </c>
      <c r="N144">
        <v>1</v>
      </c>
      <c r="O144" t="s">
        <v>38</v>
      </c>
    </row>
    <row r="145" spans="1:15" x14ac:dyDescent="0.3">
      <c r="A145">
        <v>285</v>
      </c>
      <c r="B145" t="s">
        <v>58</v>
      </c>
      <c r="C145" t="s">
        <v>33</v>
      </c>
      <c r="D145">
        <v>2013</v>
      </c>
      <c r="E145">
        <v>4</v>
      </c>
      <c r="F145" t="s">
        <v>61</v>
      </c>
      <c r="G145">
        <v>36471.300000000003</v>
      </c>
      <c r="H145">
        <v>7000</v>
      </c>
      <c r="I145">
        <v>40000</v>
      </c>
      <c r="J145">
        <v>29471.3</v>
      </c>
      <c r="K145">
        <v>521.01857099999995</v>
      </c>
      <c r="L145">
        <v>5</v>
      </c>
      <c r="M145" t="s">
        <v>37</v>
      </c>
      <c r="N145">
        <v>1</v>
      </c>
      <c r="O145" t="s">
        <v>49</v>
      </c>
    </row>
    <row r="146" spans="1:15" x14ac:dyDescent="0.3">
      <c r="A146">
        <v>284</v>
      </c>
      <c r="B146" t="s">
        <v>50</v>
      </c>
      <c r="C146" t="s">
        <v>16</v>
      </c>
      <c r="D146">
        <v>2013</v>
      </c>
      <c r="E146">
        <v>4</v>
      </c>
      <c r="F146" t="s">
        <v>61</v>
      </c>
      <c r="G146">
        <v>363836.11512500001</v>
      </c>
      <c r="H146">
        <v>454000</v>
      </c>
      <c r="I146">
        <v>380000</v>
      </c>
      <c r="J146">
        <v>-90163.884875000003</v>
      </c>
      <c r="K146">
        <v>80.140112999999999</v>
      </c>
      <c r="L146">
        <v>25</v>
      </c>
      <c r="M146" t="s">
        <v>37</v>
      </c>
      <c r="N146">
        <v>1</v>
      </c>
      <c r="O146" t="s">
        <v>38</v>
      </c>
    </row>
    <row r="147" spans="1:15" x14ac:dyDescent="0.3">
      <c r="A147">
        <v>279</v>
      </c>
      <c r="B147" t="s">
        <v>34</v>
      </c>
      <c r="C147" t="s">
        <v>35</v>
      </c>
      <c r="D147">
        <v>2013</v>
      </c>
      <c r="E147">
        <v>4</v>
      </c>
      <c r="F147" t="s">
        <v>61</v>
      </c>
      <c r="G147">
        <v>487011.58196099999</v>
      </c>
      <c r="H147">
        <v>538000</v>
      </c>
      <c r="I147">
        <v>675000</v>
      </c>
      <c r="J147">
        <v>-50988.418038999996</v>
      </c>
      <c r="K147">
        <v>90.522598000000002</v>
      </c>
      <c r="L147">
        <v>40</v>
      </c>
      <c r="M147" t="s">
        <v>37</v>
      </c>
      <c r="N147">
        <v>1</v>
      </c>
      <c r="O147" t="s">
        <v>38</v>
      </c>
    </row>
    <row r="148" spans="1:15" x14ac:dyDescent="0.3">
      <c r="A148">
        <v>287</v>
      </c>
      <c r="B148" t="s">
        <v>42</v>
      </c>
      <c r="C148" t="s">
        <v>33</v>
      </c>
      <c r="D148">
        <v>2014</v>
      </c>
      <c r="E148">
        <v>1</v>
      </c>
      <c r="F148" t="s">
        <v>62</v>
      </c>
      <c r="G148">
        <v>56637.747799999997</v>
      </c>
      <c r="H148">
        <v>1000</v>
      </c>
      <c r="I148">
        <v>116000</v>
      </c>
      <c r="J148">
        <v>55637.747799999997</v>
      </c>
      <c r="K148">
        <v>5663.7747799999997</v>
      </c>
      <c r="L148">
        <v>3</v>
      </c>
      <c r="M148" t="s">
        <v>37</v>
      </c>
      <c r="N148">
        <v>1</v>
      </c>
      <c r="O148" t="s">
        <v>49</v>
      </c>
    </row>
    <row r="149" spans="1:15" x14ac:dyDescent="0.3">
      <c r="A149">
        <v>283</v>
      </c>
      <c r="B149" t="s">
        <v>15</v>
      </c>
      <c r="C149" t="s">
        <v>16</v>
      </c>
      <c r="D149">
        <v>2014</v>
      </c>
      <c r="E149">
        <v>1</v>
      </c>
      <c r="F149" t="s">
        <v>62</v>
      </c>
      <c r="G149">
        <v>348514.350515</v>
      </c>
      <c r="H149">
        <v>403000</v>
      </c>
      <c r="I149">
        <v>234000</v>
      </c>
      <c r="J149">
        <v>-54485.649485000002</v>
      </c>
      <c r="K149">
        <v>86.479986999999994</v>
      </c>
      <c r="L149">
        <v>21</v>
      </c>
      <c r="M149" t="s">
        <v>37</v>
      </c>
      <c r="N149">
        <v>1</v>
      </c>
      <c r="O149" t="s">
        <v>38</v>
      </c>
    </row>
    <row r="150" spans="1:15" x14ac:dyDescent="0.3">
      <c r="A150">
        <v>278</v>
      </c>
      <c r="B150" t="s">
        <v>21</v>
      </c>
      <c r="C150" t="s">
        <v>22</v>
      </c>
      <c r="D150">
        <v>2014</v>
      </c>
      <c r="E150">
        <v>1</v>
      </c>
      <c r="F150" t="s">
        <v>62</v>
      </c>
      <c r="G150">
        <v>290535.94693400001</v>
      </c>
      <c r="H150">
        <v>390000</v>
      </c>
      <c r="I150">
        <v>280000</v>
      </c>
      <c r="J150">
        <v>-99464.053065999993</v>
      </c>
      <c r="K150">
        <v>74.496396000000004</v>
      </c>
      <c r="L150">
        <v>24</v>
      </c>
      <c r="M150" t="s">
        <v>37</v>
      </c>
      <c r="N150">
        <v>1</v>
      </c>
      <c r="O150" t="s">
        <v>38</v>
      </c>
    </row>
    <row r="151" spans="1:15" x14ac:dyDescent="0.3">
      <c r="A151">
        <v>289</v>
      </c>
      <c r="B151" t="s">
        <v>44</v>
      </c>
      <c r="C151" t="s">
        <v>45</v>
      </c>
      <c r="D151">
        <v>2014</v>
      </c>
      <c r="E151">
        <v>1</v>
      </c>
      <c r="F151" t="s">
        <v>62</v>
      </c>
      <c r="G151">
        <v>943212.53135900002</v>
      </c>
      <c r="H151">
        <v>1329000</v>
      </c>
      <c r="I151">
        <v>883000</v>
      </c>
      <c r="J151">
        <v>-385787.46864099998</v>
      </c>
      <c r="K151">
        <v>70.971597000000003</v>
      </c>
      <c r="L151">
        <v>44</v>
      </c>
      <c r="M151" t="s">
        <v>37</v>
      </c>
      <c r="N151">
        <v>1</v>
      </c>
      <c r="O151" t="s">
        <v>38</v>
      </c>
    </row>
    <row r="152" spans="1:15" x14ac:dyDescent="0.3">
      <c r="A152">
        <v>277</v>
      </c>
      <c r="B152" t="s">
        <v>23</v>
      </c>
      <c r="C152" t="s">
        <v>24</v>
      </c>
      <c r="D152">
        <v>2014</v>
      </c>
      <c r="E152">
        <v>1</v>
      </c>
      <c r="F152" t="s">
        <v>62</v>
      </c>
      <c r="G152">
        <v>702107.18518000003</v>
      </c>
      <c r="H152">
        <v>947000</v>
      </c>
      <c r="I152">
        <v>714000</v>
      </c>
      <c r="J152">
        <v>-244892.81482</v>
      </c>
      <c r="K152">
        <v>74.140146000000001</v>
      </c>
      <c r="L152">
        <v>49</v>
      </c>
      <c r="M152" t="s">
        <v>37</v>
      </c>
      <c r="N152">
        <v>1</v>
      </c>
      <c r="O152" t="s">
        <v>38</v>
      </c>
    </row>
    <row r="153" spans="1:15" x14ac:dyDescent="0.3">
      <c r="A153">
        <v>282</v>
      </c>
      <c r="B153" t="s">
        <v>25</v>
      </c>
      <c r="C153" t="s">
        <v>22</v>
      </c>
      <c r="D153">
        <v>2014</v>
      </c>
      <c r="E153">
        <v>1</v>
      </c>
      <c r="F153" t="s">
        <v>62</v>
      </c>
      <c r="G153">
        <v>618831.71902299998</v>
      </c>
      <c r="H153">
        <v>830000</v>
      </c>
      <c r="I153">
        <v>569000</v>
      </c>
      <c r="J153">
        <v>-211168.28097699999</v>
      </c>
      <c r="K153">
        <v>74.558037999999996</v>
      </c>
      <c r="L153">
        <v>29</v>
      </c>
      <c r="M153" t="s">
        <v>37</v>
      </c>
      <c r="N153">
        <v>1</v>
      </c>
      <c r="O153" t="s">
        <v>38</v>
      </c>
    </row>
    <row r="154" spans="1:15" x14ac:dyDescent="0.3">
      <c r="A154">
        <v>276</v>
      </c>
      <c r="B154" t="s">
        <v>26</v>
      </c>
      <c r="C154" t="s">
        <v>27</v>
      </c>
      <c r="D154">
        <v>2014</v>
      </c>
      <c r="E154">
        <v>1</v>
      </c>
      <c r="F154" t="s">
        <v>62</v>
      </c>
      <c r="G154">
        <v>988377.477067</v>
      </c>
      <c r="H154">
        <v>1124000</v>
      </c>
      <c r="I154">
        <v>894000</v>
      </c>
      <c r="J154">
        <v>-135622.522933</v>
      </c>
      <c r="K154">
        <v>87.933938999999995</v>
      </c>
      <c r="L154">
        <v>41</v>
      </c>
      <c r="M154" t="s">
        <v>37</v>
      </c>
      <c r="N154">
        <v>1</v>
      </c>
      <c r="O154" t="s">
        <v>38</v>
      </c>
    </row>
    <row r="155" spans="1:15" x14ac:dyDescent="0.3">
      <c r="A155">
        <v>286</v>
      </c>
      <c r="B155" t="s">
        <v>54</v>
      </c>
      <c r="C155" t="s">
        <v>55</v>
      </c>
      <c r="D155">
        <v>2014</v>
      </c>
      <c r="E155">
        <v>1</v>
      </c>
      <c r="F155" t="s">
        <v>62</v>
      </c>
      <c r="G155">
        <v>358410.81897600001</v>
      </c>
      <c r="H155">
        <v>421000</v>
      </c>
      <c r="I155">
        <v>399000</v>
      </c>
      <c r="J155">
        <v>-62589.181023999998</v>
      </c>
      <c r="K155">
        <v>85.133211000000003</v>
      </c>
      <c r="L155">
        <v>28</v>
      </c>
      <c r="M155" t="s">
        <v>37</v>
      </c>
      <c r="N155">
        <v>1</v>
      </c>
      <c r="O155" t="s">
        <v>38</v>
      </c>
    </row>
    <row r="156" spans="1:15" x14ac:dyDescent="0.3">
      <c r="A156">
        <v>275</v>
      </c>
      <c r="B156" t="s">
        <v>28</v>
      </c>
      <c r="C156" t="s">
        <v>29</v>
      </c>
      <c r="D156">
        <v>2014</v>
      </c>
      <c r="E156">
        <v>1</v>
      </c>
      <c r="F156" t="s">
        <v>62</v>
      </c>
      <c r="G156">
        <v>687240.39621299994</v>
      </c>
      <c r="H156">
        <v>869000</v>
      </c>
      <c r="I156">
        <v>849000</v>
      </c>
      <c r="J156">
        <v>-181759.603787</v>
      </c>
      <c r="K156">
        <v>79.084050000000005</v>
      </c>
      <c r="L156">
        <v>43</v>
      </c>
      <c r="M156" t="s">
        <v>37</v>
      </c>
      <c r="N156">
        <v>1</v>
      </c>
      <c r="O156" t="s">
        <v>38</v>
      </c>
    </row>
    <row r="157" spans="1:15" x14ac:dyDescent="0.3">
      <c r="A157">
        <v>280</v>
      </c>
      <c r="B157" t="s">
        <v>30</v>
      </c>
      <c r="C157" t="s">
        <v>16</v>
      </c>
      <c r="D157">
        <v>2014</v>
      </c>
      <c r="E157">
        <v>1</v>
      </c>
      <c r="F157" t="s">
        <v>62</v>
      </c>
      <c r="G157">
        <v>353818.16673200001</v>
      </c>
      <c r="H157">
        <v>390000</v>
      </c>
      <c r="I157">
        <v>343000</v>
      </c>
      <c r="J157">
        <v>-36181.833268000002</v>
      </c>
      <c r="K157">
        <v>90.722605999999999</v>
      </c>
      <c r="L157">
        <v>6</v>
      </c>
      <c r="M157" t="s">
        <v>37</v>
      </c>
      <c r="N157">
        <v>1</v>
      </c>
      <c r="O157" t="s">
        <v>38</v>
      </c>
    </row>
    <row r="158" spans="1:15" x14ac:dyDescent="0.3">
      <c r="A158">
        <v>288</v>
      </c>
      <c r="B158" t="s">
        <v>56</v>
      </c>
      <c r="C158" t="s">
        <v>57</v>
      </c>
      <c r="D158">
        <v>2014</v>
      </c>
      <c r="E158">
        <v>1</v>
      </c>
      <c r="F158" t="s">
        <v>62</v>
      </c>
      <c r="G158">
        <v>444621.68518099998</v>
      </c>
      <c r="H158">
        <v>627000</v>
      </c>
      <c r="I158">
        <v>366000</v>
      </c>
      <c r="J158">
        <v>-182378.31481899999</v>
      </c>
      <c r="K158">
        <v>70.912548999999999</v>
      </c>
      <c r="L158">
        <v>32</v>
      </c>
      <c r="M158" t="s">
        <v>37</v>
      </c>
      <c r="N158">
        <v>1</v>
      </c>
      <c r="O158" t="s">
        <v>38</v>
      </c>
    </row>
    <row r="159" spans="1:15" x14ac:dyDescent="0.3">
      <c r="A159">
        <v>290</v>
      </c>
      <c r="B159" t="s">
        <v>46</v>
      </c>
      <c r="C159" t="s">
        <v>47</v>
      </c>
      <c r="D159">
        <v>2014</v>
      </c>
      <c r="E159">
        <v>1</v>
      </c>
      <c r="F159" t="s">
        <v>62</v>
      </c>
      <c r="G159">
        <v>748282.31467800005</v>
      </c>
      <c r="H159">
        <v>908000</v>
      </c>
      <c r="I159">
        <v>707000</v>
      </c>
      <c r="J159">
        <v>-159717.685322</v>
      </c>
      <c r="K159">
        <v>82.409946000000005</v>
      </c>
      <c r="L159">
        <v>30</v>
      </c>
      <c r="M159" t="s">
        <v>37</v>
      </c>
      <c r="N159">
        <v>1</v>
      </c>
      <c r="O159" t="s">
        <v>38</v>
      </c>
    </row>
    <row r="160" spans="1:15" x14ac:dyDescent="0.3">
      <c r="A160">
        <v>281</v>
      </c>
      <c r="B160" t="s">
        <v>31</v>
      </c>
      <c r="C160" t="s">
        <v>27</v>
      </c>
      <c r="D160">
        <v>2014</v>
      </c>
      <c r="E160">
        <v>1</v>
      </c>
      <c r="F160" t="s">
        <v>62</v>
      </c>
      <c r="G160">
        <v>557816.476823</v>
      </c>
      <c r="H160">
        <v>724000</v>
      </c>
      <c r="I160">
        <v>614000</v>
      </c>
      <c r="J160">
        <v>-166183.523177</v>
      </c>
      <c r="K160">
        <v>77.046474000000003</v>
      </c>
      <c r="L160">
        <v>26</v>
      </c>
      <c r="M160" t="s">
        <v>37</v>
      </c>
      <c r="N160">
        <v>1</v>
      </c>
      <c r="O160" t="s">
        <v>38</v>
      </c>
    </row>
    <row r="161" spans="1:15" x14ac:dyDescent="0.3">
      <c r="A161">
        <v>274</v>
      </c>
      <c r="B161" t="s">
        <v>32</v>
      </c>
      <c r="C161" t="s">
        <v>33</v>
      </c>
      <c r="D161">
        <v>2014</v>
      </c>
      <c r="E161">
        <v>1</v>
      </c>
      <c r="F161" t="s">
        <v>62</v>
      </c>
      <c r="G161">
        <v>140931.440508</v>
      </c>
      <c r="H161">
        <v>187000</v>
      </c>
      <c r="I161">
        <v>84000</v>
      </c>
      <c r="J161">
        <v>-46068.559492</v>
      </c>
      <c r="K161">
        <v>75.364406000000002</v>
      </c>
      <c r="L161">
        <v>6</v>
      </c>
      <c r="M161" t="s">
        <v>37</v>
      </c>
      <c r="N161">
        <v>1</v>
      </c>
      <c r="O161" t="s">
        <v>38</v>
      </c>
    </row>
    <row r="162" spans="1:15" x14ac:dyDescent="0.3">
      <c r="A162">
        <v>285</v>
      </c>
      <c r="B162" t="s">
        <v>58</v>
      </c>
      <c r="C162" t="s">
        <v>33</v>
      </c>
      <c r="D162">
        <v>2014</v>
      </c>
      <c r="E162">
        <v>1</v>
      </c>
      <c r="F162" t="s">
        <v>62</v>
      </c>
      <c r="G162">
        <v>17070.222000000002</v>
      </c>
      <c r="H162">
        <v>26000</v>
      </c>
      <c r="I162">
        <v>7000</v>
      </c>
      <c r="J162">
        <v>-8929.7780000000002</v>
      </c>
      <c r="K162">
        <v>65.654700000000005</v>
      </c>
      <c r="L162">
        <v>2</v>
      </c>
      <c r="M162" t="s">
        <v>37</v>
      </c>
      <c r="N162">
        <v>1</v>
      </c>
      <c r="O162" t="s">
        <v>38</v>
      </c>
    </row>
    <row r="163" spans="1:15" x14ac:dyDescent="0.3">
      <c r="A163">
        <v>284</v>
      </c>
      <c r="B163" t="s">
        <v>50</v>
      </c>
      <c r="C163" t="s">
        <v>16</v>
      </c>
      <c r="D163">
        <v>2014</v>
      </c>
      <c r="E163">
        <v>1</v>
      </c>
      <c r="F163" t="s">
        <v>62</v>
      </c>
      <c r="G163">
        <v>457614.17524999997</v>
      </c>
      <c r="H163">
        <v>497000</v>
      </c>
      <c r="I163">
        <v>454000</v>
      </c>
      <c r="J163">
        <v>-39385.82475</v>
      </c>
      <c r="K163">
        <v>92.075286000000006</v>
      </c>
      <c r="L163">
        <v>24</v>
      </c>
      <c r="M163" t="s">
        <v>37</v>
      </c>
      <c r="N163">
        <v>1</v>
      </c>
      <c r="O163" t="s">
        <v>38</v>
      </c>
    </row>
    <row r="164" spans="1:15" x14ac:dyDescent="0.3">
      <c r="A164">
        <v>279</v>
      </c>
      <c r="B164" t="s">
        <v>34</v>
      </c>
      <c r="C164" t="s">
        <v>35</v>
      </c>
      <c r="D164">
        <v>2014</v>
      </c>
      <c r="E164">
        <v>1</v>
      </c>
      <c r="F164" t="s">
        <v>62</v>
      </c>
      <c r="G164">
        <v>554312.56428799999</v>
      </c>
      <c r="H164">
        <v>686000</v>
      </c>
      <c r="I164">
        <v>538000</v>
      </c>
      <c r="J164">
        <v>-131687.43571200001</v>
      </c>
      <c r="K164">
        <v>80.803579999999997</v>
      </c>
      <c r="L164">
        <v>41</v>
      </c>
      <c r="M164" t="s">
        <v>37</v>
      </c>
      <c r="N164">
        <v>1</v>
      </c>
      <c r="O164" t="s">
        <v>38</v>
      </c>
    </row>
    <row r="165" spans="1:15" x14ac:dyDescent="0.3">
      <c r="A165">
        <v>283</v>
      </c>
      <c r="B165" t="s">
        <v>15</v>
      </c>
      <c r="C165" t="s">
        <v>16</v>
      </c>
      <c r="D165">
        <v>2014</v>
      </c>
      <c r="E165">
        <v>2</v>
      </c>
      <c r="F165" t="s">
        <v>18</v>
      </c>
      <c r="G165">
        <v>141951.96840000001</v>
      </c>
      <c r="H165" t="s">
        <v>18</v>
      </c>
      <c r="I165" t="s">
        <v>18</v>
      </c>
      <c r="J165" t="s">
        <v>18</v>
      </c>
      <c r="K165" t="s">
        <v>18</v>
      </c>
      <c r="L165">
        <v>5</v>
      </c>
      <c r="M165" t="s">
        <v>63</v>
      </c>
      <c r="N165">
        <v>0</v>
      </c>
      <c r="O165" t="s">
        <v>18</v>
      </c>
    </row>
    <row r="166" spans="1:15" x14ac:dyDescent="0.3">
      <c r="A166">
        <v>278</v>
      </c>
      <c r="B166" t="s">
        <v>21</v>
      </c>
      <c r="C166" t="s">
        <v>22</v>
      </c>
      <c r="D166">
        <v>2014</v>
      </c>
      <c r="E166">
        <v>2</v>
      </c>
      <c r="F166" t="s">
        <v>18</v>
      </c>
      <c r="G166">
        <v>145413.00823199999</v>
      </c>
      <c r="H166" t="s">
        <v>18</v>
      </c>
      <c r="I166" t="s">
        <v>18</v>
      </c>
      <c r="J166" t="s">
        <v>18</v>
      </c>
      <c r="K166" t="s">
        <v>18</v>
      </c>
      <c r="L166">
        <v>11</v>
      </c>
      <c r="M166" t="s">
        <v>63</v>
      </c>
      <c r="N166">
        <v>0</v>
      </c>
      <c r="O166" t="s">
        <v>18</v>
      </c>
    </row>
    <row r="167" spans="1:15" x14ac:dyDescent="0.3">
      <c r="A167">
        <v>289</v>
      </c>
      <c r="B167" t="s">
        <v>44</v>
      </c>
      <c r="C167" t="s">
        <v>45</v>
      </c>
      <c r="D167">
        <v>2014</v>
      </c>
      <c r="E167">
        <v>2</v>
      </c>
      <c r="F167" t="s">
        <v>18</v>
      </c>
      <c r="G167">
        <v>439784.05255099997</v>
      </c>
      <c r="H167" t="s">
        <v>18</v>
      </c>
      <c r="I167" t="s">
        <v>18</v>
      </c>
      <c r="J167" t="s">
        <v>18</v>
      </c>
      <c r="K167" t="s">
        <v>18</v>
      </c>
      <c r="L167">
        <v>23</v>
      </c>
      <c r="M167" t="s">
        <v>63</v>
      </c>
      <c r="N167">
        <v>0</v>
      </c>
      <c r="O167" t="s">
        <v>18</v>
      </c>
    </row>
    <row r="168" spans="1:15" x14ac:dyDescent="0.3">
      <c r="A168">
        <v>277</v>
      </c>
      <c r="B168" t="s">
        <v>23</v>
      </c>
      <c r="C168" t="s">
        <v>24</v>
      </c>
      <c r="D168">
        <v>2014</v>
      </c>
      <c r="E168">
        <v>2</v>
      </c>
      <c r="F168" t="s">
        <v>18</v>
      </c>
      <c r="G168">
        <v>337986.22172099998</v>
      </c>
      <c r="H168" t="s">
        <v>18</v>
      </c>
      <c r="I168" t="s">
        <v>18</v>
      </c>
      <c r="J168" t="s">
        <v>18</v>
      </c>
      <c r="K168" t="s">
        <v>18</v>
      </c>
      <c r="L168">
        <v>14</v>
      </c>
      <c r="M168" t="s">
        <v>63</v>
      </c>
      <c r="N168">
        <v>0</v>
      </c>
      <c r="O168" t="s">
        <v>18</v>
      </c>
    </row>
    <row r="169" spans="1:15" x14ac:dyDescent="0.3">
      <c r="A169">
        <v>282</v>
      </c>
      <c r="B169" t="s">
        <v>25</v>
      </c>
      <c r="C169" t="s">
        <v>22</v>
      </c>
      <c r="D169">
        <v>2014</v>
      </c>
      <c r="E169">
        <v>2</v>
      </c>
      <c r="F169" t="s">
        <v>18</v>
      </c>
      <c r="G169">
        <v>425979.108664</v>
      </c>
      <c r="H169" t="s">
        <v>18</v>
      </c>
      <c r="I169" t="s">
        <v>18</v>
      </c>
      <c r="J169" t="s">
        <v>18</v>
      </c>
      <c r="K169" t="s">
        <v>18</v>
      </c>
      <c r="L169">
        <v>14</v>
      </c>
      <c r="M169" t="s">
        <v>63</v>
      </c>
      <c r="N169">
        <v>0</v>
      </c>
      <c r="O169" t="s">
        <v>18</v>
      </c>
    </row>
    <row r="170" spans="1:15" x14ac:dyDescent="0.3">
      <c r="A170">
        <v>276</v>
      </c>
      <c r="B170" t="s">
        <v>26</v>
      </c>
      <c r="C170" t="s">
        <v>27</v>
      </c>
      <c r="D170">
        <v>2014</v>
      </c>
      <c r="E170">
        <v>2</v>
      </c>
      <c r="F170" t="s">
        <v>18</v>
      </c>
      <c r="G170">
        <v>282711.04439400003</v>
      </c>
      <c r="H170" t="s">
        <v>18</v>
      </c>
      <c r="I170" t="s">
        <v>18</v>
      </c>
      <c r="J170" t="s">
        <v>18</v>
      </c>
      <c r="K170" t="s">
        <v>18</v>
      </c>
      <c r="L170">
        <v>18</v>
      </c>
      <c r="M170" t="s">
        <v>63</v>
      </c>
      <c r="N170">
        <v>0</v>
      </c>
      <c r="O170" t="s">
        <v>18</v>
      </c>
    </row>
    <row r="171" spans="1:15" x14ac:dyDescent="0.3">
      <c r="A171">
        <v>286</v>
      </c>
      <c r="B171" t="s">
        <v>54</v>
      </c>
      <c r="C171" t="s">
        <v>55</v>
      </c>
      <c r="D171">
        <v>2014</v>
      </c>
      <c r="E171">
        <v>2</v>
      </c>
      <c r="F171" t="s">
        <v>18</v>
      </c>
      <c r="G171">
        <v>227344.98155200001</v>
      </c>
      <c r="H171" t="s">
        <v>18</v>
      </c>
      <c r="I171" t="s">
        <v>18</v>
      </c>
      <c r="J171" t="s">
        <v>18</v>
      </c>
      <c r="K171" t="s">
        <v>18</v>
      </c>
      <c r="L171">
        <v>15</v>
      </c>
      <c r="M171" t="s">
        <v>63</v>
      </c>
      <c r="N171">
        <v>0</v>
      </c>
      <c r="O171" t="s">
        <v>18</v>
      </c>
    </row>
    <row r="172" spans="1:15" x14ac:dyDescent="0.3">
      <c r="A172">
        <v>275</v>
      </c>
      <c r="B172" t="s">
        <v>28</v>
      </c>
      <c r="C172" t="s">
        <v>29</v>
      </c>
      <c r="D172">
        <v>2014</v>
      </c>
      <c r="E172">
        <v>2</v>
      </c>
      <c r="F172" t="s">
        <v>18</v>
      </c>
      <c r="G172">
        <v>370006.98235900002</v>
      </c>
      <c r="H172" t="s">
        <v>18</v>
      </c>
      <c r="I172" t="s">
        <v>18</v>
      </c>
      <c r="J172" t="s">
        <v>18</v>
      </c>
      <c r="K172" t="s">
        <v>18</v>
      </c>
      <c r="L172">
        <v>19</v>
      </c>
      <c r="M172" t="s">
        <v>63</v>
      </c>
      <c r="N172">
        <v>0</v>
      </c>
      <c r="O172" t="s">
        <v>18</v>
      </c>
    </row>
    <row r="173" spans="1:15" x14ac:dyDescent="0.3">
      <c r="A173">
        <v>280</v>
      </c>
      <c r="B173" t="s">
        <v>30</v>
      </c>
      <c r="C173" t="s">
        <v>16</v>
      </c>
      <c r="D173">
        <v>2014</v>
      </c>
      <c r="E173">
        <v>2</v>
      </c>
      <c r="F173" t="s">
        <v>18</v>
      </c>
      <c r="G173">
        <v>151113.877308</v>
      </c>
      <c r="H173" t="s">
        <v>18</v>
      </c>
      <c r="I173" t="s">
        <v>18</v>
      </c>
      <c r="J173" t="s">
        <v>18</v>
      </c>
      <c r="K173" t="s">
        <v>18</v>
      </c>
      <c r="L173">
        <v>3</v>
      </c>
      <c r="M173" t="s">
        <v>63</v>
      </c>
      <c r="N173">
        <v>0</v>
      </c>
      <c r="O173" t="s">
        <v>18</v>
      </c>
    </row>
    <row r="174" spans="1:15" x14ac:dyDescent="0.3">
      <c r="A174">
        <v>288</v>
      </c>
      <c r="B174" t="s">
        <v>56</v>
      </c>
      <c r="C174" t="s">
        <v>57</v>
      </c>
      <c r="D174">
        <v>2014</v>
      </c>
      <c r="E174">
        <v>2</v>
      </c>
      <c r="F174" t="s">
        <v>18</v>
      </c>
      <c r="G174">
        <v>136986.247</v>
      </c>
      <c r="H174" t="s">
        <v>18</v>
      </c>
      <c r="I174" t="s">
        <v>18</v>
      </c>
      <c r="J174" t="s">
        <v>18</v>
      </c>
      <c r="K174" t="s">
        <v>18</v>
      </c>
      <c r="L174">
        <v>12</v>
      </c>
      <c r="M174" t="s">
        <v>63</v>
      </c>
      <c r="N174">
        <v>0</v>
      </c>
      <c r="O174" t="s">
        <v>18</v>
      </c>
    </row>
    <row r="175" spans="1:15" x14ac:dyDescent="0.3">
      <c r="A175">
        <v>290</v>
      </c>
      <c r="B175" t="s">
        <v>46</v>
      </c>
      <c r="C175" t="s">
        <v>47</v>
      </c>
      <c r="D175">
        <v>2014</v>
      </c>
      <c r="E175">
        <v>2</v>
      </c>
      <c r="F175" t="s">
        <v>18</v>
      </c>
      <c r="G175">
        <v>119236.29929700001</v>
      </c>
      <c r="H175" t="s">
        <v>18</v>
      </c>
      <c r="I175" t="s">
        <v>18</v>
      </c>
      <c r="J175" t="s">
        <v>18</v>
      </c>
      <c r="K175" t="s">
        <v>18</v>
      </c>
      <c r="L175">
        <v>9</v>
      </c>
      <c r="M175" t="s">
        <v>63</v>
      </c>
      <c r="N175">
        <v>0</v>
      </c>
      <c r="O175" t="s">
        <v>18</v>
      </c>
    </row>
    <row r="176" spans="1:15" x14ac:dyDescent="0.3">
      <c r="A176">
        <v>281</v>
      </c>
      <c r="B176" t="s">
        <v>31</v>
      </c>
      <c r="C176" t="s">
        <v>27</v>
      </c>
      <c r="D176">
        <v>2014</v>
      </c>
      <c r="E176">
        <v>2</v>
      </c>
      <c r="F176" t="s">
        <v>18</v>
      </c>
      <c r="G176">
        <v>220125.1752</v>
      </c>
      <c r="H176" t="s">
        <v>18</v>
      </c>
      <c r="I176" t="s">
        <v>18</v>
      </c>
      <c r="J176" t="s">
        <v>18</v>
      </c>
      <c r="K176" t="s">
        <v>18</v>
      </c>
      <c r="L176">
        <v>11</v>
      </c>
      <c r="M176" t="s">
        <v>63</v>
      </c>
      <c r="N176">
        <v>0</v>
      </c>
      <c r="O176" t="s">
        <v>18</v>
      </c>
    </row>
    <row r="177" spans="1:15" x14ac:dyDescent="0.3">
      <c r="A177">
        <v>274</v>
      </c>
      <c r="B177" t="s">
        <v>32</v>
      </c>
      <c r="C177" t="s">
        <v>33</v>
      </c>
      <c r="D177">
        <v>2014</v>
      </c>
      <c r="E177">
        <v>2</v>
      </c>
      <c r="F177" t="s">
        <v>18</v>
      </c>
      <c r="G177">
        <v>37652.921999999999</v>
      </c>
      <c r="H177" t="s">
        <v>18</v>
      </c>
      <c r="I177" t="s">
        <v>18</v>
      </c>
      <c r="J177" t="s">
        <v>18</v>
      </c>
      <c r="K177" t="s">
        <v>18</v>
      </c>
      <c r="L177">
        <v>2</v>
      </c>
      <c r="M177" t="s">
        <v>63</v>
      </c>
      <c r="N177">
        <v>0</v>
      </c>
      <c r="O177" t="s">
        <v>18</v>
      </c>
    </row>
    <row r="178" spans="1:15" x14ac:dyDescent="0.3">
      <c r="A178">
        <v>285</v>
      </c>
      <c r="B178" t="s">
        <v>58</v>
      </c>
      <c r="C178" t="s">
        <v>33</v>
      </c>
      <c r="D178">
        <v>2014</v>
      </c>
      <c r="E178">
        <v>2</v>
      </c>
      <c r="F178" t="s">
        <v>18</v>
      </c>
      <c r="G178">
        <v>4197.1139999999996</v>
      </c>
      <c r="H178" t="s">
        <v>18</v>
      </c>
      <c r="I178" t="s">
        <v>18</v>
      </c>
      <c r="J178" t="s">
        <v>18</v>
      </c>
      <c r="K178" t="s">
        <v>18</v>
      </c>
      <c r="L178">
        <v>2</v>
      </c>
      <c r="M178" t="s">
        <v>63</v>
      </c>
      <c r="N178">
        <v>0</v>
      </c>
      <c r="O178" t="s">
        <v>18</v>
      </c>
    </row>
    <row r="179" spans="1:15" x14ac:dyDescent="0.3">
      <c r="A179">
        <v>284</v>
      </c>
      <c r="B179" t="s">
        <v>50</v>
      </c>
      <c r="C179" t="s">
        <v>16</v>
      </c>
      <c r="D179">
        <v>2014</v>
      </c>
      <c r="E179">
        <v>2</v>
      </c>
      <c r="F179" t="s">
        <v>18</v>
      </c>
      <c r="G179">
        <v>143382.995108</v>
      </c>
      <c r="H179" t="s">
        <v>18</v>
      </c>
      <c r="I179" t="s">
        <v>18</v>
      </c>
      <c r="J179" t="s">
        <v>18</v>
      </c>
      <c r="K179" t="s">
        <v>18</v>
      </c>
      <c r="L179">
        <v>10</v>
      </c>
      <c r="M179" t="s">
        <v>63</v>
      </c>
      <c r="N179">
        <v>0</v>
      </c>
      <c r="O179" t="s">
        <v>18</v>
      </c>
    </row>
    <row r="180" spans="1:15" x14ac:dyDescent="0.3">
      <c r="A180">
        <v>279</v>
      </c>
      <c r="B180" t="s">
        <v>34</v>
      </c>
      <c r="C180" t="s">
        <v>35</v>
      </c>
      <c r="D180">
        <v>2014</v>
      </c>
      <c r="E180">
        <v>2</v>
      </c>
      <c r="F180" t="s">
        <v>18</v>
      </c>
      <c r="G180">
        <v>232891.86455200001</v>
      </c>
      <c r="H180" t="s">
        <v>18</v>
      </c>
      <c r="I180" t="s">
        <v>18</v>
      </c>
      <c r="J180" t="s">
        <v>18</v>
      </c>
      <c r="K180" t="s">
        <v>18</v>
      </c>
      <c r="L180">
        <v>13</v>
      </c>
      <c r="M180" t="s">
        <v>63</v>
      </c>
      <c r="N180">
        <v>0</v>
      </c>
      <c r="O180" t="s">
        <v>18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07141-2881-40DA-8611-743FB90F2110}">
  <dimension ref="A1:K18"/>
  <sheetViews>
    <sheetView workbookViewId="0">
      <selection activeCell="F11" sqref="F11"/>
    </sheetView>
  </sheetViews>
  <sheetFormatPr defaultRowHeight="14.4" x14ac:dyDescent="0.3"/>
  <cols>
    <col min="1" max="1" width="15" bestFit="1" customWidth="1"/>
    <col min="2" max="2" width="20.88671875" bestFit="1" customWidth="1"/>
    <col min="3" max="3" width="18" bestFit="1" customWidth="1"/>
    <col min="4" max="4" width="23.44140625" customWidth="1"/>
    <col min="5" max="5" width="19.44140625" customWidth="1"/>
    <col min="6" max="6" width="22" customWidth="1"/>
    <col min="7" max="7" width="21.21875" customWidth="1"/>
    <col min="8" max="8" width="24.44140625" customWidth="1"/>
    <col min="9" max="9" width="14" customWidth="1"/>
    <col min="10" max="10" width="21.21875" style="2" customWidth="1"/>
    <col min="11" max="11" width="23.21875" style="2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86</v>
      </c>
      <c r="E1" t="s">
        <v>87</v>
      </c>
      <c r="F1" t="s">
        <v>76</v>
      </c>
      <c r="G1" t="s">
        <v>77</v>
      </c>
      <c r="H1" t="s">
        <v>78</v>
      </c>
      <c r="I1" t="s">
        <v>82</v>
      </c>
      <c r="J1" s="2" t="s">
        <v>79</v>
      </c>
      <c r="K1" s="2" t="s">
        <v>83</v>
      </c>
    </row>
    <row r="2" spans="1:11" x14ac:dyDescent="0.3">
      <c r="A2">
        <v>289</v>
      </c>
      <c r="B2" t="s">
        <v>44</v>
      </c>
      <c r="C2" t="s">
        <v>45</v>
      </c>
      <c r="D2">
        <f>SUMIFS(tblQuarterlyPerformance[ActualSales],tblQuarterlyPerformance[SalesPersonID],tblExcelAnalysis[[#This Row],[SalesPersonID]],tblQuarterlyPerformance[IsComparablePeriod],1)</f>
        <v>8063554.5928350007</v>
      </c>
      <c r="E2">
        <f>SUMIFS(tblQuarterlyPerformance[SalesQuota],tblQuarterlyPerformance[SalesPersonID],tblExcelAnalysis[[#This Row],[SalesPersonID]],tblQuarterlyPerformance[IsComparablePeriod],1)</f>
        <v>10514000</v>
      </c>
      <c r="F2">
        <f>COUNTIFS(tblQuarterlyPerformance[SalesPersonID],tblExcelAnalysis[[#This Row],[SalesPersonID]],tblQuarterlyPerformance[IsComparablePeriod],1)</f>
        <v>8</v>
      </c>
      <c r="G2">
        <f>COUNTIFS(tblQuarterlyPerformance[SalesPersonID],tblExcelAnalysis[[#This Row],[SalesPersonID]],tblQuarterlyPerformance[IsComparablePeriod],1,tblQuarterlyPerformance[AttainmentPct],"&lt;100")</f>
        <v>7</v>
      </c>
      <c r="H2">
        <f>COUNTIFS(tblQuarterlyPerformance[SalesPersonID],tblExcelAnalysis[[#This Row],[SalesPersonID]],tblQuarterlyPerformance[IsComparablePeriod],1,tblQuarterlyPerformance[AttainmentPct],"&gt;=100")</f>
        <v>1</v>
      </c>
      <c r="I2">
        <f>tblExcelAnalysis[[#This Row],[RecalculatedActualSales]]-tblExcelAnalysis[[#This Row],[RecalculatedQuota]]</f>
        <v>-2450445.4071649993</v>
      </c>
      <c r="J2" s="2">
        <f>IFERROR(tblExcelAnalysis[[#This Row],[BelowQuotaQuarters]]/tblExcelAnalysis[[#This Row],[ComparableQuarters]],0)</f>
        <v>0.875</v>
      </c>
      <c r="K2" s="2">
        <f>IFERROR(tblExcelAnalysis[[#This Row],[RecalculatedActualSales]]/tblExcelAnalysis[[#This Row],[RecalculatedQuota]],0)</f>
        <v>0.76693500026964057</v>
      </c>
    </row>
    <row r="3" spans="1:11" x14ac:dyDescent="0.3">
      <c r="A3">
        <v>277</v>
      </c>
      <c r="B3" t="s">
        <v>23</v>
      </c>
      <c r="C3" t="s">
        <v>24</v>
      </c>
      <c r="D3">
        <f>SUMIFS(tblQuarterlyPerformance[ActualSales],tblQuarterlyPerformance[SalesPersonID],tblExcelAnalysis[[#This Row],[SalesPersonID]],tblQuarterlyPerformance[IsComparablePeriod],1)</f>
        <v>9681121.7621209994</v>
      </c>
      <c r="E3">
        <f>SUMIFS(tblQuarterlyPerformance[SalesQuota],tblQuarterlyPerformance[SalesPersonID],tblExcelAnalysis[[#This Row],[SalesPersonID]],tblQuarterlyPerformance[IsComparablePeriod],1)</f>
        <v>11633000</v>
      </c>
      <c r="F3">
        <f>COUNTIFS(tblQuarterlyPerformance[SalesPersonID],tblExcelAnalysis[[#This Row],[SalesPersonID]],tblQuarterlyPerformance[IsComparablePeriod],1)</f>
        <v>11</v>
      </c>
      <c r="G3">
        <f>COUNTIFS(tblQuarterlyPerformance[SalesPersonID],tblExcelAnalysis[[#This Row],[SalesPersonID]],tblQuarterlyPerformance[IsComparablePeriod],1,tblQuarterlyPerformance[AttainmentPct],"&lt;100")</f>
        <v>9</v>
      </c>
      <c r="H3">
        <f>COUNTIFS(tblQuarterlyPerformance[SalesPersonID],tblExcelAnalysis[[#This Row],[SalesPersonID]],tblQuarterlyPerformance[IsComparablePeriod],1,tblQuarterlyPerformance[AttainmentPct],"&gt;=100")</f>
        <v>2</v>
      </c>
      <c r="I3">
        <f>tblExcelAnalysis[[#This Row],[RecalculatedActualSales]]-tblExcelAnalysis[[#This Row],[RecalculatedQuota]]</f>
        <v>-1951878.2378790006</v>
      </c>
      <c r="J3" s="2">
        <f>IFERROR(tblExcelAnalysis[[#This Row],[BelowQuotaQuarters]]/tblExcelAnalysis[[#This Row],[ComparableQuarters]],0)</f>
        <v>0.81818181818181823</v>
      </c>
      <c r="K3" s="2">
        <f>IFERROR(tblExcelAnalysis[[#This Row],[RecalculatedActualSales]]/tblExcelAnalysis[[#This Row],[RecalculatedQuota]],0)</f>
        <v>0.83221196270274211</v>
      </c>
    </row>
    <row r="4" spans="1:11" x14ac:dyDescent="0.3">
      <c r="A4">
        <v>275</v>
      </c>
      <c r="B4" t="s">
        <v>28</v>
      </c>
      <c r="C4" t="s">
        <v>29</v>
      </c>
      <c r="D4">
        <f>SUMIFS(tblQuarterlyPerformance[ActualSales],tblQuarterlyPerformance[SalesPersonID],tblExcelAnalysis[[#This Row],[SalesPersonID]],tblQuarterlyPerformance[IsComparablePeriod],1)</f>
        <v>8860133.0992420018</v>
      </c>
      <c r="E4">
        <f>SUMIFS(tblQuarterlyPerformance[SalesQuota],tblQuarterlyPerformance[SalesPersonID],tblExcelAnalysis[[#This Row],[SalesPersonID]],tblQuarterlyPerformance[IsComparablePeriod],1)</f>
        <v>10795000</v>
      </c>
      <c r="F4">
        <f>COUNTIFS(tblQuarterlyPerformance[SalesPersonID],tblExcelAnalysis[[#This Row],[SalesPersonID]],tblQuarterlyPerformance[IsComparablePeriod],1)</f>
        <v>11</v>
      </c>
      <c r="G4">
        <f>COUNTIFS(tblQuarterlyPerformance[SalesPersonID],tblExcelAnalysis[[#This Row],[SalesPersonID]],tblQuarterlyPerformance[IsComparablePeriod],1,tblQuarterlyPerformance[AttainmentPct],"&lt;100")</f>
        <v>10</v>
      </c>
      <c r="H4">
        <f>COUNTIFS(tblQuarterlyPerformance[SalesPersonID],tblExcelAnalysis[[#This Row],[SalesPersonID]],tblQuarterlyPerformance[IsComparablePeriod],1,tblQuarterlyPerformance[AttainmentPct],"&gt;=100")</f>
        <v>1</v>
      </c>
      <c r="I4">
        <f>tblExcelAnalysis[[#This Row],[RecalculatedActualSales]]-tblExcelAnalysis[[#This Row],[RecalculatedQuota]]</f>
        <v>-1934866.9007579982</v>
      </c>
      <c r="J4" s="2">
        <f>IFERROR(tblExcelAnalysis[[#This Row],[BelowQuotaQuarters]]/tblExcelAnalysis[[#This Row],[ComparableQuarters]],0)</f>
        <v>0.90909090909090906</v>
      </c>
      <c r="K4" s="2">
        <f>IFERROR(tblExcelAnalysis[[#This Row],[RecalculatedActualSales]]/tblExcelAnalysis[[#This Row],[RecalculatedQuota]],0)</f>
        <v>0.82076267709513684</v>
      </c>
    </row>
    <row r="5" spans="1:11" x14ac:dyDescent="0.3">
      <c r="A5">
        <v>281</v>
      </c>
      <c r="B5" t="s">
        <v>31</v>
      </c>
      <c r="C5" t="s">
        <v>27</v>
      </c>
      <c r="D5">
        <f>SUMIFS(tblQuarterlyPerformance[ActualSales],tblQuarterlyPerformance[SalesPersonID],tblExcelAnalysis[[#This Row],[SalesPersonID]],tblQuarterlyPerformance[IsComparablePeriod],1)</f>
        <v>6147172.0578890005</v>
      </c>
      <c r="E5">
        <f>SUMIFS(tblQuarterlyPerformance[SalesQuota],tblQuarterlyPerformance[SalesPersonID],tblExcelAnalysis[[#This Row],[SalesPersonID]],tblQuarterlyPerformance[IsComparablePeriod],1)</f>
        <v>7344000</v>
      </c>
      <c r="F5">
        <f>COUNTIFS(tblQuarterlyPerformance[SalesPersonID],tblExcelAnalysis[[#This Row],[SalesPersonID]],tblQuarterlyPerformance[IsComparablePeriod],1)</f>
        <v>11</v>
      </c>
      <c r="G5">
        <f>COUNTIFS(tblQuarterlyPerformance[SalesPersonID],tblExcelAnalysis[[#This Row],[SalesPersonID]],tblQuarterlyPerformance[IsComparablePeriod],1,tblQuarterlyPerformance[AttainmentPct],"&lt;100")</f>
        <v>8</v>
      </c>
      <c r="H5">
        <f>COUNTIFS(tblQuarterlyPerformance[SalesPersonID],tblExcelAnalysis[[#This Row],[SalesPersonID]],tblQuarterlyPerformance[IsComparablePeriod],1,tblQuarterlyPerformance[AttainmentPct],"&gt;=100")</f>
        <v>3</v>
      </c>
      <c r="I5">
        <f>tblExcelAnalysis[[#This Row],[RecalculatedActualSales]]-tblExcelAnalysis[[#This Row],[RecalculatedQuota]]</f>
        <v>-1196827.9421109995</v>
      </c>
      <c r="J5" s="2">
        <f>IFERROR(tblExcelAnalysis[[#This Row],[BelowQuotaQuarters]]/tblExcelAnalysis[[#This Row],[ComparableQuarters]],0)</f>
        <v>0.72727272727272729</v>
      </c>
      <c r="K5" s="2">
        <f>IFERROR(tblExcelAnalysis[[#This Row],[RecalculatedActualSales]]/tblExcelAnalysis[[#This Row],[RecalculatedQuota]],0)</f>
        <v>0.83703323228336068</v>
      </c>
    </row>
    <row r="6" spans="1:11" x14ac:dyDescent="0.3">
      <c r="A6">
        <v>282</v>
      </c>
      <c r="B6" t="s">
        <v>25</v>
      </c>
      <c r="C6" t="s">
        <v>22</v>
      </c>
      <c r="D6">
        <f>SUMIFS(tblQuarterlyPerformance[ActualSales],tblQuarterlyPerformance[SalesPersonID],tblExcelAnalysis[[#This Row],[SalesPersonID]],tblQuarterlyPerformance[IsComparablePeriod],1)</f>
        <v>5394187.5188810006</v>
      </c>
      <c r="E6">
        <f>SUMIFS(tblQuarterlyPerformance[SalesQuota],tblQuarterlyPerformance[SalesPersonID],tblExcelAnalysis[[#This Row],[SalesPersonID]],tblQuarterlyPerformance[IsComparablePeriod],1)</f>
        <v>6573000</v>
      </c>
      <c r="F6">
        <f>COUNTIFS(tblQuarterlyPerformance[SalesPersonID],tblExcelAnalysis[[#This Row],[SalesPersonID]],tblQuarterlyPerformance[IsComparablePeriod],1)</f>
        <v>11</v>
      </c>
      <c r="G6">
        <f>COUNTIFS(tblQuarterlyPerformance[SalesPersonID],tblExcelAnalysis[[#This Row],[SalesPersonID]],tblQuarterlyPerformance[IsComparablePeriod],1,tblQuarterlyPerformance[AttainmentPct],"&lt;100")</f>
        <v>8</v>
      </c>
      <c r="H6">
        <f>COUNTIFS(tblQuarterlyPerformance[SalesPersonID],tblExcelAnalysis[[#This Row],[SalesPersonID]],tblQuarterlyPerformance[IsComparablePeriod],1,tblQuarterlyPerformance[AttainmentPct],"&gt;=100")</f>
        <v>3</v>
      </c>
      <c r="I6">
        <f>tblExcelAnalysis[[#This Row],[RecalculatedActualSales]]-tblExcelAnalysis[[#This Row],[RecalculatedQuota]]</f>
        <v>-1178812.4811189994</v>
      </c>
      <c r="J6" s="2">
        <f>IFERROR(tblExcelAnalysis[[#This Row],[BelowQuotaQuarters]]/tblExcelAnalysis[[#This Row],[ComparableQuarters]],0)</f>
        <v>0.72727272727272729</v>
      </c>
      <c r="K6" s="2">
        <f>IFERROR(tblExcelAnalysis[[#This Row],[RecalculatedActualSales]]/tblExcelAnalysis[[#This Row],[RecalculatedQuota]],0)</f>
        <v>0.82065837804366359</v>
      </c>
    </row>
    <row r="7" spans="1:11" x14ac:dyDescent="0.3">
      <c r="A7">
        <v>290</v>
      </c>
      <c r="B7" t="s">
        <v>46</v>
      </c>
      <c r="C7" t="s">
        <v>47</v>
      </c>
      <c r="D7">
        <f>SUMIFS(tblQuarterlyPerformance[ActualSales],tblQuarterlyPerformance[SalesPersonID],tblExcelAnalysis[[#This Row],[SalesPersonID]],tblQuarterlyPerformance[IsComparablePeriod],1)</f>
        <v>4390652.6314540002</v>
      </c>
      <c r="E7">
        <f>SUMIFS(tblQuarterlyPerformance[SalesQuota],tblQuarterlyPerformance[SalesPersonID],tblExcelAnalysis[[#This Row],[SalesPersonID]],tblQuarterlyPerformance[IsComparablePeriod],1)</f>
        <v>5557000</v>
      </c>
      <c r="F7">
        <f>COUNTIFS(tblQuarterlyPerformance[SalesPersonID],tblExcelAnalysis[[#This Row],[SalesPersonID]],tblQuarterlyPerformance[IsComparablePeriod],1)</f>
        <v>8</v>
      </c>
      <c r="G7">
        <f>COUNTIFS(tblQuarterlyPerformance[SalesPersonID],tblExcelAnalysis[[#This Row],[SalesPersonID]],tblQuarterlyPerformance[IsComparablePeriod],1,tblQuarterlyPerformance[AttainmentPct],"&lt;100")</f>
        <v>7</v>
      </c>
      <c r="H7">
        <f>COUNTIFS(tblQuarterlyPerformance[SalesPersonID],tblExcelAnalysis[[#This Row],[SalesPersonID]],tblQuarterlyPerformance[IsComparablePeriod],1,tblQuarterlyPerformance[AttainmentPct],"&gt;=100")</f>
        <v>1</v>
      </c>
      <c r="I7">
        <f>tblExcelAnalysis[[#This Row],[RecalculatedActualSales]]-tblExcelAnalysis[[#This Row],[RecalculatedQuota]]</f>
        <v>-1166347.3685459998</v>
      </c>
      <c r="J7" s="2">
        <f>IFERROR(tblExcelAnalysis[[#This Row],[BelowQuotaQuarters]]/tblExcelAnalysis[[#This Row],[ComparableQuarters]],0)</f>
        <v>0.875</v>
      </c>
      <c r="K7" s="2">
        <f>IFERROR(tblExcelAnalysis[[#This Row],[RecalculatedActualSales]]/tblExcelAnalysis[[#This Row],[RecalculatedQuota]],0)</f>
        <v>0.79011204453014217</v>
      </c>
    </row>
    <row r="8" spans="1:11" x14ac:dyDescent="0.3">
      <c r="A8">
        <v>276</v>
      </c>
      <c r="B8" t="s">
        <v>26</v>
      </c>
      <c r="C8" t="s">
        <v>27</v>
      </c>
      <c r="D8">
        <f>SUMIFS(tblQuarterlyPerformance[ActualSales],tblQuarterlyPerformance[SalesPersonID],tblExcelAnalysis[[#This Row],[SalesPersonID]],tblQuarterlyPerformance[IsComparablePeriod],1)</f>
        <v>10078820.433138998</v>
      </c>
      <c r="E8">
        <f>SUMIFS(tblQuarterlyPerformance[SalesQuota],tblQuarterlyPerformance[SalesPersonID],tblExcelAnalysis[[#This Row],[SalesPersonID]],tblQuarterlyPerformance[IsComparablePeriod],1)</f>
        <v>11149000</v>
      </c>
      <c r="F8">
        <f>COUNTIFS(tblQuarterlyPerformance[SalesPersonID],tblExcelAnalysis[[#This Row],[SalesPersonID]],tblQuarterlyPerformance[IsComparablePeriod],1)</f>
        <v>11</v>
      </c>
      <c r="G8">
        <f>COUNTIFS(tblQuarterlyPerformance[SalesPersonID],tblExcelAnalysis[[#This Row],[SalesPersonID]],tblQuarterlyPerformance[IsComparablePeriod],1,tblQuarterlyPerformance[AttainmentPct],"&lt;100")</f>
        <v>6</v>
      </c>
      <c r="H8">
        <f>COUNTIFS(tblQuarterlyPerformance[SalesPersonID],tblExcelAnalysis[[#This Row],[SalesPersonID]],tblQuarterlyPerformance[IsComparablePeriod],1,tblQuarterlyPerformance[AttainmentPct],"&gt;=100")</f>
        <v>5</v>
      </c>
      <c r="I8">
        <f>tblExcelAnalysis[[#This Row],[RecalculatedActualSales]]-tblExcelAnalysis[[#This Row],[RecalculatedQuota]]</f>
        <v>-1070179.5668610018</v>
      </c>
      <c r="J8" s="2">
        <f>IFERROR(tblExcelAnalysis[[#This Row],[BelowQuotaQuarters]]/tblExcelAnalysis[[#This Row],[ComparableQuarters]],0)</f>
        <v>0.54545454545454541</v>
      </c>
      <c r="K8" s="2">
        <f>IFERROR(tblExcelAnalysis[[#This Row],[RecalculatedActualSales]]/tblExcelAnalysis[[#This Row],[RecalculatedQuota]],0)</f>
        <v>0.90401116092375977</v>
      </c>
    </row>
    <row r="9" spans="1:11" x14ac:dyDescent="0.3">
      <c r="A9">
        <v>279</v>
      </c>
      <c r="B9" t="s">
        <v>34</v>
      </c>
      <c r="C9" t="s">
        <v>35</v>
      </c>
      <c r="D9">
        <f>SUMIFS(tblQuarterlyPerformance[ActualSales],tblQuarterlyPerformance[SalesPersonID],tblExcelAnalysis[[#This Row],[SalesPersonID]],tblQuarterlyPerformance[IsComparablePeriod],1)</f>
        <v>6833701.5554889999</v>
      </c>
      <c r="E9">
        <f>SUMIFS(tblQuarterlyPerformance[SalesQuota],tblQuarterlyPerformance[SalesPersonID],tblExcelAnalysis[[#This Row],[SalesPersonID]],tblQuarterlyPerformance[IsComparablePeriod],1)</f>
        <v>7872000</v>
      </c>
      <c r="F9">
        <f>COUNTIFS(tblQuarterlyPerformance[SalesPersonID],tblExcelAnalysis[[#This Row],[SalesPersonID]],tblQuarterlyPerformance[IsComparablePeriod],1)</f>
        <v>11</v>
      </c>
      <c r="G9">
        <f>COUNTIFS(tblQuarterlyPerformance[SalesPersonID],tblExcelAnalysis[[#This Row],[SalesPersonID]],tblQuarterlyPerformance[IsComparablePeriod],1,tblQuarterlyPerformance[AttainmentPct],"&lt;100")</f>
        <v>9</v>
      </c>
      <c r="H9">
        <f>COUNTIFS(tblQuarterlyPerformance[SalesPersonID],tblExcelAnalysis[[#This Row],[SalesPersonID]],tblQuarterlyPerformance[IsComparablePeriod],1,tblQuarterlyPerformance[AttainmentPct],"&gt;=100")</f>
        <v>2</v>
      </c>
      <c r="I9">
        <f>tblExcelAnalysis[[#This Row],[RecalculatedActualSales]]-tblExcelAnalysis[[#This Row],[RecalculatedQuota]]</f>
        <v>-1038298.4445110001</v>
      </c>
      <c r="J9" s="2">
        <f>IFERROR(tblExcelAnalysis[[#This Row],[BelowQuotaQuarters]]/tblExcelAnalysis[[#This Row],[ComparableQuarters]],0)</f>
        <v>0.81818181818181823</v>
      </c>
      <c r="K9" s="2">
        <f>IFERROR(tblExcelAnalysis[[#This Row],[RecalculatedActualSales]]/tblExcelAnalysis[[#This Row],[RecalculatedQuota]],0)</f>
        <v>0.86810233174402951</v>
      </c>
    </row>
    <row r="10" spans="1:11" x14ac:dyDescent="0.3">
      <c r="A10">
        <v>278</v>
      </c>
      <c r="B10" t="s">
        <v>21</v>
      </c>
      <c r="C10" t="s">
        <v>22</v>
      </c>
      <c r="D10">
        <f>SUMIFS(tblQuarterlyPerformance[ActualSales],tblQuarterlyPerformance[SalesPersonID],tblExcelAnalysis[[#This Row],[SalesPersonID]],tblQuarterlyPerformance[IsComparablePeriod],1)</f>
        <v>3454925.038224</v>
      </c>
      <c r="E10">
        <f>SUMIFS(tblQuarterlyPerformance[SalesQuota],tblQuarterlyPerformance[SalesPersonID],tblExcelAnalysis[[#This Row],[SalesPersonID]],tblQuarterlyPerformance[IsComparablePeriod],1)</f>
        <v>4121000</v>
      </c>
      <c r="F10">
        <f>COUNTIFS(tblQuarterlyPerformance[SalesPersonID],tblExcelAnalysis[[#This Row],[SalesPersonID]],tblQuarterlyPerformance[IsComparablePeriod],1)</f>
        <v>11</v>
      </c>
      <c r="G10">
        <f>COUNTIFS(tblQuarterlyPerformance[SalesPersonID],tblExcelAnalysis[[#This Row],[SalesPersonID]],tblQuarterlyPerformance[IsComparablePeriod],1,tblQuarterlyPerformance[AttainmentPct],"&lt;100")</f>
        <v>9</v>
      </c>
      <c r="H10">
        <f>COUNTIFS(tblQuarterlyPerformance[SalesPersonID],tblExcelAnalysis[[#This Row],[SalesPersonID]],tblQuarterlyPerformance[IsComparablePeriod],1,tblQuarterlyPerformance[AttainmentPct],"&gt;=100")</f>
        <v>2</v>
      </c>
      <c r="I10">
        <f>tblExcelAnalysis[[#This Row],[RecalculatedActualSales]]-tblExcelAnalysis[[#This Row],[RecalculatedQuota]]</f>
        <v>-666074.96177599998</v>
      </c>
      <c r="J10" s="2">
        <f>IFERROR(tblExcelAnalysis[[#This Row],[BelowQuotaQuarters]]/tblExcelAnalysis[[#This Row],[ComparableQuarters]],0)</f>
        <v>0.81818181818181823</v>
      </c>
      <c r="K10" s="2">
        <f>IFERROR(tblExcelAnalysis[[#This Row],[RecalculatedActualSales]]/tblExcelAnalysis[[#This Row],[RecalculatedQuota]],0)</f>
        <v>0.83837055040621211</v>
      </c>
    </row>
    <row r="11" spans="1:11" x14ac:dyDescent="0.3">
      <c r="A11">
        <v>288</v>
      </c>
      <c r="B11" t="s">
        <v>56</v>
      </c>
      <c r="C11" t="s">
        <v>57</v>
      </c>
      <c r="D11">
        <f>SUMIFS(tblQuarterlyPerformance[ActualSales],tblQuarterlyPerformance[SalesPersonID],tblExcelAnalysis[[#This Row],[SalesPersonID]],tblQuarterlyPerformance[IsComparablePeriod],1)</f>
        <v>1690080.464741</v>
      </c>
      <c r="E11">
        <f>SUMIFS(tblQuarterlyPerformance[SalesQuota],tblQuarterlyPerformance[SalesPersonID],tblExcelAnalysis[[#This Row],[SalesPersonID]],tblQuarterlyPerformance[IsComparablePeriod],1)</f>
        <v>2287000</v>
      </c>
      <c r="F11">
        <f>COUNTIFS(tblQuarterlyPerformance[SalesPersonID],tblExcelAnalysis[[#This Row],[SalesPersonID]],tblQuarterlyPerformance[IsComparablePeriod],1)</f>
        <v>4</v>
      </c>
      <c r="G11">
        <f>COUNTIFS(tblQuarterlyPerformance[SalesPersonID],tblExcelAnalysis[[#This Row],[SalesPersonID]],tblQuarterlyPerformance[IsComparablePeriod],1,tblQuarterlyPerformance[AttainmentPct],"&lt;100")</f>
        <v>4</v>
      </c>
      <c r="H11">
        <f>COUNTIFS(tblQuarterlyPerformance[SalesPersonID],tblExcelAnalysis[[#This Row],[SalesPersonID]],tblQuarterlyPerformance[IsComparablePeriod],1,tblQuarterlyPerformance[AttainmentPct],"&gt;=100")</f>
        <v>0</v>
      </c>
      <c r="I11">
        <f>tblExcelAnalysis[[#This Row],[RecalculatedActualSales]]-tblExcelAnalysis[[#This Row],[RecalculatedQuota]]</f>
        <v>-596919.53525900003</v>
      </c>
      <c r="J11" s="2">
        <f>IFERROR(tblExcelAnalysis[[#This Row],[BelowQuotaQuarters]]/tblExcelAnalysis[[#This Row],[ComparableQuarters]],0)</f>
        <v>1</v>
      </c>
      <c r="K11" s="2">
        <f>IFERROR(tblExcelAnalysis[[#This Row],[RecalculatedActualSales]]/tblExcelAnalysis[[#This Row],[RecalculatedQuota]],0)</f>
        <v>0.73899451890730217</v>
      </c>
    </row>
    <row r="12" spans="1:11" x14ac:dyDescent="0.3">
      <c r="A12">
        <v>284</v>
      </c>
      <c r="B12" t="s">
        <v>50</v>
      </c>
      <c r="C12" t="s">
        <v>16</v>
      </c>
      <c r="D12">
        <f>SUMIFS(tblQuarterlyPerformance[ActualSales],tblQuarterlyPerformance[SalesPersonID],tblExcelAnalysis[[#This Row],[SalesPersonID]],tblQuarterlyPerformance[IsComparablePeriod],1)</f>
        <v>2169162.6948389998</v>
      </c>
      <c r="E12">
        <f>SUMIFS(tblQuarterlyPerformance[SalesQuota],tblQuarterlyPerformance[SalesPersonID],tblExcelAnalysis[[#This Row],[SalesPersonID]],tblQuarterlyPerformance[IsComparablePeriod],1)</f>
        <v>2753000</v>
      </c>
      <c r="F12">
        <f>COUNTIFS(tblQuarterlyPerformance[SalesPersonID],tblExcelAnalysis[[#This Row],[SalesPersonID]],tblQuarterlyPerformance[IsComparablePeriod],1)</f>
        <v>7</v>
      </c>
      <c r="G12">
        <f>COUNTIFS(tblQuarterlyPerformance[SalesPersonID],tblExcelAnalysis[[#This Row],[SalesPersonID]],tblQuarterlyPerformance[IsComparablePeriod],1,tblQuarterlyPerformance[AttainmentPct],"&lt;100")</f>
        <v>6</v>
      </c>
      <c r="H12">
        <f>COUNTIFS(tblQuarterlyPerformance[SalesPersonID],tblExcelAnalysis[[#This Row],[SalesPersonID]],tblQuarterlyPerformance[IsComparablePeriod],1,tblQuarterlyPerformance[AttainmentPct],"&gt;=100")</f>
        <v>1</v>
      </c>
      <c r="I12">
        <f>tblExcelAnalysis[[#This Row],[RecalculatedActualSales]]-tblExcelAnalysis[[#This Row],[RecalculatedQuota]]</f>
        <v>-583837.30516100023</v>
      </c>
      <c r="J12" s="2">
        <f>IFERROR(tblExcelAnalysis[[#This Row],[BelowQuotaQuarters]]/tblExcelAnalysis[[#This Row],[ComparableQuarters]],0)</f>
        <v>0.8571428571428571</v>
      </c>
      <c r="K12" s="2">
        <f>IFERROR(tblExcelAnalysis[[#This Row],[RecalculatedActualSales]]/tblExcelAnalysis[[#This Row],[RecalculatedQuota]],0)</f>
        <v>0.7879268778928441</v>
      </c>
    </row>
    <row r="13" spans="1:11" x14ac:dyDescent="0.3">
      <c r="A13">
        <v>286</v>
      </c>
      <c r="B13" t="s">
        <v>54</v>
      </c>
      <c r="C13" t="s">
        <v>55</v>
      </c>
      <c r="D13">
        <f>SUMIFS(tblQuarterlyPerformance[ActualSales],tblQuarterlyPerformance[SalesPersonID],tblExcelAnalysis[[#This Row],[SalesPersonID]],tblQuarterlyPerformance[IsComparablePeriod],1)</f>
        <v>1194465.9422899999</v>
      </c>
      <c r="E13">
        <f>SUMIFS(tblQuarterlyPerformance[SalesQuota],tblQuarterlyPerformance[SalesPersonID],tblExcelAnalysis[[#This Row],[SalesPersonID]],tblQuarterlyPerformance[IsComparablePeriod],1)</f>
        <v>1687000</v>
      </c>
      <c r="F13">
        <f>COUNTIFS(tblQuarterlyPerformance[SalesPersonID],tblExcelAnalysis[[#This Row],[SalesPersonID]],tblQuarterlyPerformance[IsComparablePeriod],1)</f>
        <v>4</v>
      </c>
      <c r="G13">
        <f>COUNTIFS(tblQuarterlyPerformance[SalesPersonID],tblExcelAnalysis[[#This Row],[SalesPersonID]],tblQuarterlyPerformance[IsComparablePeriod],1,tblQuarterlyPerformance[AttainmentPct],"&lt;100")</f>
        <v>4</v>
      </c>
      <c r="H13">
        <f>COUNTIFS(tblQuarterlyPerformance[SalesPersonID],tblExcelAnalysis[[#This Row],[SalesPersonID]],tblQuarterlyPerformance[IsComparablePeriod],1,tblQuarterlyPerformance[AttainmentPct],"&gt;=100")</f>
        <v>0</v>
      </c>
      <c r="I13">
        <f>tblExcelAnalysis[[#This Row],[RecalculatedActualSales]]-tblExcelAnalysis[[#This Row],[RecalculatedQuota]]</f>
        <v>-492534.05771000008</v>
      </c>
      <c r="J13" s="2">
        <f>IFERROR(tblExcelAnalysis[[#This Row],[BelowQuotaQuarters]]/tblExcelAnalysis[[#This Row],[ComparableQuarters]],0)</f>
        <v>1</v>
      </c>
      <c r="K13" s="2">
        <f>IFERROR(tblExcelAnalysis[[#This Row],[RecalculatedActualSales]]/tblExcelAnalysis[[#This Row],[RecalculatedQuota]],0)</f>
        <v>0.70804145956727915</v>
      </c>
    </row>
    <row r="14" spans="1:11" x14ac:dyDescent="0.3">
      <c r="A14">
        <v>283</v>
      </c>
      <c r="B14" t="s">
        <v>15</v>
      </c>
      <c r="C14" t="s">
        <v>16</v>
      </c>
      <c r="D14">
        <f>SUMIFS(tblQuarterlyPerformance[ActualSales],tblQuarterlyPerformance[SalesPersonID],tblExcelAnalysis[[#This Row],[SalesPersonID]],tblQuarterlyPerformance[IsComparablePeriod],1)</f>
        <v>3518520.3840650003</v>
      </c>
      <c r="E14">
        <f>SUMIFS(tblQuarterlyPerformance[SalesQuota],tblQuarterlyPerformance[SalesPersonID],tblExcelAnalysis[[#This Row],[SalesPersonID]],tblQuarterlyPerformance[IsComparablePeriod],1)</f>
        <v>3799000</v>
      </c>
      <c r="F14">
        <f>COUNTIFS(tblQuarterlyPerformance[SalesPersonID],tblExcelAnalysis[[#This Row],[SalesPersonID]],tblQuarterlyPerformance[IsComparablePeriod],1)</f>
        <v>11</v>
      </c>
      <c r="G14">
        <f>COUNTIFS(tblQuarterlyPerformance[SalesPersonID],tblExcelAnalysis[[#This Row],[SalesPersonID]],tblQuarterlyPerformance[IsComparablePeriod],1,tblQuarterlyPerformance[AttainmentPct],"&lt;100")</f>
        <v>6</v>
      </c>
      <c r="H14">
        <f>COUNTIFS(tblQuarterlyPerformance[SalesPersonID],tblExcelAnalysis[[#This Row],[SalesPersonID]],tblQuarterlyPerformance[IsComparablePeriod],1,tblQuarterlyPerformance[AttainmentPct],"&gt;=100")</f>
        <v>5</v>
      </c>
      <c r="I14">
        <f>tblExcelAnalysis[[#This Row],[RecalculatedActualSales]]-tblExcelAnalysis[[#This Row],[RecalculatedQuota]]</f>
        <v>-280479.61593499966</v>
      </c>
      <c r="J14" s="2">
        <f>IFERROR(tblExcelAnalysis[[#This Row],[BelowQuotaQuarters]]/tblExcelAnalysis[[#This Row],[ComparableQuarters]],0)</f>
        <v>0.54545454545454541</v>
      </c>
      <c r="K14" s="2">
        <f>IFERROR(tblExcelAnalysis[[#This Row],[RecalculatedActualSales]]/tblExcelAnalysis[[#This Row],[RecalculatedQuota]],0)</f>
        <v>0.92617014584495927</v>
      </c>
    </row>
    <row r="15" spans="1:11" x14ac:dyDescent="0.3">
      <c r="A15">
        <v>280</v>
      </c>
      <c r="B15" t="s">
        <v>30</v>
      </c>
      <c r="C15" t="s">
        <v>16</v>
      </c>
      <c r="D15">
        <f>SUMIFS(tblQuarterlyPerformance[ActualSales],tblQuarterlyPerformance[SalesPersonID],tblExcelAnalysis[[#This Row],[SalesPersonID]],tblQuarterlyPerformance[IsComparablePeriod],1)</f>
        <v>3149556.1078709997</v>
      </c>
      <c r="E15">
        <f>SUMIFS(tblQuarterlyPerformance[SalesQuota],tblQuarterlyPerformance[SalesPersonID],tblExcelAnalysis[[#This Row],[SalesPersonID]],tblQuarterlyPerformance[IsComparablePeriod],1)</f>
        <v>3386000</v>
      </c>
      <c r="F15">
        <f>COUNTIFS(tblQuarterlyPerformance[SalesPersonID],tblExcelAnalysis[[#This Row],[SalesPersonID]],tblQuarterlyPerformance[IsComparablePeriod],1)</f>
        <v>11</v>
      </c>
      <c r="G15">
        <f>COUNTIFS(tblQuarterlyPerformance[SalesPersonID],tblExcelAnalysis[[#This Row],[SalesPersonID]],tblQuarterlyPerformance[IsComparablePeriod],1,tblQuarterlyPerformance[AttainmentPct],"&lt;100")</f>
        <v>8</v>
      </c>
      <c r="H15">
        <f>COUNTIFS(tblQuarterlyPerformance[SalesPersonID],tblExcelAnalysis[[#This Row],[SalesPersonID]],tblQuarterlyPerformance[IsComparablePeriod],1,tblQuarterlyPerformance[AttainmentPct],"&gt;=100")</f>
        <v>3</v>
      </c>
      <c r="I15">
        <f>tblExcelAnalysis[[#This Row],[RecalculatedActualSales]]-tblExcelAnalysis[[#This Row],[RecalculatedQuota]]</f>
        <v>-236443.89212900028</v>
      </c>
      <c r="J15" s="2">
        <f>IFERROR(tblExcelAnalysis[[#This Row],[BelowQuotaQuarters]]/tblExcelAnalysis[[#This Row],[ComparableQuarters]],0)</f>
        <v>0.72727272727272729</v>
      </c>
      <c r="K15" s="2">
        <f>IFERROR(tblExcelAnalysis[[#This Row],[RecalculatedActualSales]]/tblExcelAnalysis[[#This Row],[RecalculatedQuota]],0)</f>
        <v>0.93017014408476073</v>
      </c>
    </row>
    <row r="16" spans="1:11" x14ac:dyDescent="0.3">
      <c r="A16">
        <v>274</v>
      </c>
      <c r="B16" t="s">
        <v>32</v>
      </c>
      <c r="C16" t="s">
        <v>33</v>
      </c>
      <c r="D16">
        <f>SUMIFS(tblQuarterlyPerformance[ActualSales],tblQuarterlyPerformance[SalesPersonID],tblExcelAnalysis[[#This Row],[SalesPersonID]],tblQuarterlyPerformance[IsComparablePeriod],1)</f>
        <v>1054470.93395</v>
      </c>
      <c r="E16">
        <f>SUMIFS(tblQuarterlyPerformance[SalesQuota],tblQuarterlyPerformance[SalesPersonID],tblExcelAnalysis[[#This Row],[SalesPersonID]],tblQuarterlyPerformance[IsComparablePeriod],1)</f>
        <v>1277000</v>
      </c>
      <c r="F16">
        <f>COUNTIFS(tblQuarterlyPerformance[SalesPersonID],tblExcelAnalysis[[#This Row],[SalesPersonID]],tblQuarterlyPerformance[IsComparablePeriod],1)</f>
        <v>11</v>
      </c>
      <c r="G16">
        <f>COUNTIFS(tblQuarterlyPerformance[SalesPersonID],tblExcelAnalysis[[#This Row],[SalesPersonID]],tblQuarterlyPerformance[IsComparablePeriod],1,tblQuarterlyPerformance[AttainmentPct],"&lt;100")</f>
        <v>7</v>
      </c>
      <c r="H16">
        <f>COUNTIFS(tblQuarterlyPerformance[SalesPersonID],tblExcelAnalysis[[#This Row],[SalesPersonID]],tblQuarterlyPerformance[IsComparablePeriod],1,tblQuarterlyPerformance[AttainmentPct],"&gt;=100")</f>
        <v>4</v>
      </c>
      <c r="I16">
        <f>tblExcelAnalysis[[#This Row],[RecalculatedActualSales]]-tblExcelAnalysis[[#This Row],[RecalculatedQuota]]</f>
        <v>-222529.06605000002</v>
      </c>
      <c r="J16" s="2">
        <f>IFERROR(tblExcelAnalysis[[#This Row],[BelowQuotaQuarters]]/tblExcelAnalysis[[#This Row],[ComparableQuarters]],0)</f>
        <v>0.63636363636363635</v>
      </c>
      <c r="K16" s="2">
        <f>IFERROR(tblExcelAnalysis[[#This Row],[RecalculatedActualSales]]/tblExcelAnalysis[[#This Row],[RecalculatedQuota]],0)</f>
        <v>0.82574074702427558</v>
      </c>
    </row>
    <row r="17" spans="1:11" x14ac:dyDescent="0.3">
      <c r="A17">
        <v>287</v>
      </c>
      <c r="B17" t="s">
        <v>42</v>
      </c>
      <c r="C17" t="s">
        <v>33</v>
      </c>
      <c r="D17">
        <f>SUMIFS(tblQuarterlyPerformance[ActualSales],tblQuarterlyPerformance[SalesPersonID],tblExcelAnalysis[[#This Row],[SalesPersonID]],tblQuarterlyPerformance[IsComparablePeriod],1)</f>
        <v>732759.184045</v>
      </c>
      <c r="E17">
        <f>SUMIFS(tblQuarterlyPerformance[SalesQuota],tblQuarterlyPerformance[SalesPersonID],tblExcelAnalysis[[#This Row],[SalesPersonID]],tblQuarterlyPerformance[IsComparablePeriod],1)</f>
        <v>876000</v>
      </c>
      <c r="F17">
        <f>COUNTIFS(tblQuarterlyPerformance[SalesPersonID],tblExcelAnalysis[[#This Row],[SalesPersonID]],tblQuarterlyPerformance[IsComparablePeriod],1)</f>
        <v>8</v>
      </c>
      <c r="G17">
        <f>COUNTIFS(tblQuarterlyPerformance[SalesPersonID],tblExcelAnalysis[[#This Row],[SalesPersonID]],tblQuarterlyPerformance[IsComparablePeriod],1,tblQuarterlyPerformance[AttainmentPct],"&lt;100")</f>
        <v>6</v>
      </c>
      <c r="H17">
        <f>COUNTIFS(tblQuarterlyPerformance[SalesPersonID],tblExcelAnalysis[[#This Row],[SalesPersonID]],tblQuarterlyPerformance[IsComparablePeriod],1,tblQuarterlyPerformance[AttainmentPct],"&gt;=100")</f>
        <v>2</v>
      </c>
      <c r="I17">
        <f>tblExcelAnalysis[[#This Row],[RecalculatedActualSales]]-tblExcelAnalysis[[#This Row],[RecalculatedQuota]]</f>
        <v>-143240.815955</v>
      </c>
      <c r="J17" s="2">
        <f>IFERROR(tblExcelAnalysis[[#This Row],[BelowQuotaQuarters]]/tblExcelAnalysis[[#This Row],[ComparableQuarters]],0)</f>
        <v>0.75</v>
      </c>
      <c r="K17" s="2">
        <f>IFERROR(tblExcelAnalysis[[#This Row],[RecalculatedActualSales]]/tblExcelAnalysis[[#This Row],[RecalculatedQuota]],0)</f>
        <v>0.83648308680936079</v>
      </c>
    </row>
    <row r="18" spans="1:11" x14ac:dyDescent="0.3">
      <c r="A18">
        <v>285</v>
      </c>
      <c r="B18" t="s">
        <v>58</v>
      </c>
      <c r="C18" t="s">
        <v>33</v>
      </c>
      <c r="D18">
        <f>SUMIFS(tblQuarterlyPerformance[ActualSales],tblQuarterlyPerformance[SalesPersonID],tblExcelAnalysis[[#This Row],[SalesPersonID]],tblQuarterlyPerformance[IsComparablePeriod],1)</f>
        <v>168327.33707500002</v>
      </c>
      <c r="E18">
        <f>SUMIFS(tblQuarterlyPerformance[SalesQuota],tblQuarterlyPerformance[SalesPersonID],tblExcelAnalysis[[#This Row],[SalesPersonID]],tblQuarterlyPerformance[IsComparablePeriod],1)</f>
        <v>205000</v>
      </c>
      <c r="F18">
        <f>COUNTIFS(tblQuarterlyPerformance[SalesPersonID],tblExcelAnalysis[[#This Row],[SalesPersonID]],tblQuarterlyPerformance[IsComparablePeriod],1)</f>
        <v>4</v>
      </c>
      <c r="G18">
        <f>COUNTIFS(tblQuarterlyPerformance[SalesPersonID],tblExcelAnalysis[[#This Row],[SalesPersonID]],tblQuarterlyPerformance[IsComparablePeriod],1,tblQuarterlyPerformance[AttainmentPct],"&lt;100")</f>
        <v>2</v>
      </c>
      <c r="H18">
        <f>COUNTIFS(tblQuarterlyPerformance[SalesPersonID],tblExcelAnalysis[[#This Row],[SalesPersonID]],tblQuarterlyPerformance[IsComparablePeriod],1,tblQuarterlyPerformance[AttainmentPct],"&gt;=100")</f>
        <v>2</v>
      </c>
      <c r="I18">
        <f>tblExcelAnalysis[[#This Row],[RecalculatedActualSales]]-tblExcelAnalysis[[#This Row],[RecalculatedQuota]]</f>
        <v>-36672.662924999982</v>
      </c>
      <c r="J18" s="2">
        <f>IFERROR(tblExcelAnalysis[[#This Row],[BelowQuotaQuarters]]/tblExcelAnalysis[[#This Row],[ComparableQuarters]],0)</f>
        <v>0.5</v>
      </c>
      <c r="K18" s="2">
        <f>IFERROR(tblExcelAnalysis[[#This Row],[RecalculatedActualSales]]/tblExcelAnalysis[[#This Row],[RecalculatedQuota]],0)</f>
        <v>0.82110896134146349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8B933-8AD3-47B7-9251-59A2954F5109}">
  <dimension ref="A3:B21"/>
  <sheetViews>
    <sheetView workbookViewId="0">
      <selection activeCell="B7" sqref="B7"/>
    </sheetView>
  </sheetViews>
  <sheetFormatPr defaultRowHeight="14.4" x14ac:dyDescent="0.3"/>
  <cols>
    <col min="1" max="1" width="20.88671875" bestFit="1" customWidth="1"/>
    <col min="2" max="2" width="18" bestFit="1" customWidth="1"/>
    <col min="3" max="3" width="28.21875" bestFit="1" customWidth="1"/>
  </cols>
  <sheetData>
    <row r="3" spans="1:2" x14ac:dyDescent="0.3">
      <c r="A3" s="3" t="s">
        <v>88</v>
      </c>
      <c r="B3" t="s">
        <v>93</v>
      </c>
    </row>
    <row r="4" spans="1:2" x14ac:dyDescent="0.3">
      <c r="A4" s="1" t="s">
        <v>44</v>
      </c>
      <c r="B4">
        <v>-2450445.4071649993</v>
      </c>
    </row>
    <row r="5" spans="1:2" x14ac:dyDescent="0.3">
      <c r="A5" s="1" t="s">
        <v>23</v>
      </c>
      <c r="B5">
        <v>-1951878.2378790006</v>
      </c>
    </row>
    <row r="6" spans="1:2" x14ac:dyDescent="0.3">
      <c r="A6" s="1" t="s">
        <v>28</v>
      </c>
      <c r="B6">
        <v>-1934866.9007579982</v>
      </c>
    </row>
    <row r="7" spans="1:2" x14ac:dyDescent="0.3">
      <c r="A7" s="1" t="s">
        <v>31</v>
      </c>
      <c r="B7">
        <v>-1196827.9421109995</v>
      </c>
    </row>
    <row r="8" spans="1:2" x14ac:dyDescent="0.3">
      <c r="A8" s="1" t="s">
        <v>25</v>
      </c>
      <c r="B8">
        <v>-1178812.4811189994</v>
      </c>
    </row>
    <row r="9" spans="1:2" x14ac:dyDescent="0.3">
      <c r="A9" s="1" t="s">
        <v>46</v>
      </c>
      <c r="B9">
        <v>-1166347.3685459998</v>
      </c>
    </row>
    <row r="10" spans="1:2" x14ac:dyDescent="0.3">
      <c r="A10" s="1" t="s">
        <v>26</v>
      </c>
      <c r="B10">
        <v>-1070179.5668610018</v>
      </c>
    </row>
    <row r="11" spans="1:2" x14ac:dyDescent="0.3">
      <c r="A11" s="1" t="s">
        <v>34</v>
      </c>
      <c r="B11">
        <v>-1038298.4445110001</v>
      </c>
    </row>
    <row r="12" spans="1:2" x14ac:dyDescent="0.3">
      <c r="A12" s="1" t="s">
        <v>21</v>
      </c>
      <c r="B12">
        <v>-666074.96177599998</v>
      </c>
    </row>
    <row r="13" spans="1:2" x14ac:dyDescent="0.3">
      <c r="A13" s="1" t="s">
        <v>56</v>
      </c>
      <c r="B13">
        <v>-596919.53525900003</v>
      </c>
    </row>
    <row r="14" spans="1:2" x14ac:dyDescent="0.3">
      <c r="A14" s="1" t="s">
        <v>50</v>
      </c>
      <c r="B14">
        <v>-583837.30516100023</v>
      </c>
    </row>
    <row r="15" spans="1:2" x14ac:dyDescent="0.3">
      <c r="A15" s="1" t="s">
        <v>54</v>
      </c>
      <c r="B15">
        <v>-492534.05771000008</v>
      </c>
    </row>
    <row r="16" spans="1:2" x14ac:dyDescent="0.3">
      <c r="A16" s="1" t="s">
        <v>15</v>
      </c>
      <c r="B16">
        <v>-280479.61593499966</v>
      </c>
    </row>
    <row r="17" spans="1:2" x14ac:dyDescent="0.3">
      <c r="A17" s="1" t="s">
        <v>30</v>
      </c>
      <c r="B17">
        <v>-236443.89212900028</v>
      </c>
    </row>
    <row r="18" spans="1:2" x14ac:dyDescent="0.3">
      <c r="A18" s="1" t="s">
        <v>32</v>
      </c>
      <c r="B18">
        <v>-222529.06605000002</v>
      </c>
    </row>
    <row r="19" spans="1:2" x14ac:dyDescent="0.3">
      <c r="A19" s="1" t="s">
        <v>42</v>
      </c>
      <c r="B19">
        <v>-143240.815955</v>
      </c>
    </row>
    <row r="20" spans="1:2" x14ac:dyDescent="0.3">
      <c r="A20" s="1" t="s">
        <v>58</v>
      </c>
      <c r="B20">
        <v>-36672.662924999982</v>
      </c>
    </row>
    <row r="21" spans="1:2" x14ac:dyDescent="0.3">
      <c r="A21" s="1" t="s">
        <v>89</v>
      </c>
      <c r="B21">
        <v>-15246388.261849999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E569F-D425-4DB8-BBC0-43C6AE5BB876}">
  <dimension ref="A1:E15"/>
  <sheetViews>
    <sheetView workbookViewId="0">
      <selection activeCell="M20" sqref="M20"/>
    </sheetView>
  </sheetViews>
  <sheetFormatPr defaultRowHeight="14.4" x14ac:dyDescent="0.3"/>
  <cols>
    <col min="1" max="1" width="17.6640625" bestFit="1" customWidth="1"/>
    <col min="2" max="2" width="13.88671875" bestFit="1" customWidth="1"/>
    <col min="3" max="3" width="17.21875" bestFit="1" customWidth="1"/>
    <col min="4" max="4" width="17" bestFit="1" customWidth="1"/>
  </cols>
  <sheetData>
    <row r="1" spans="1:5" x14ac:dyDescent="0.3">
      <c r="A1" s="3" t="s">
        <v>13</v>
      </c>
      <c r="B1" s="1">
        <v>1</v>
      </c>
    </row>
    <row r="3" spans="1:5" x14ac:dyDescent="0.3">
      <c r="A3" s="3" t="s">
        <v>3</v>
      </c>
      <c r="B3" s="3" t="s">
        <v>4</v>
      </c>
      <c r="C3" t="s">
        <v>90</v>
      </c>
      <c r="D3" t="s">
        <v>91</v>
      </c>
      <c r="E3" t="s">
        <v>92</v>
      </c>
    </row>
    <row r="4" spans="1:5" x14ac:dyDescent="0.3">
      <c r="A4">
        <v>2011</v>
      </c>
      <c r="B4">
        <v>3</v>
      </c>
      <c r="C4" s="4">
        <v>3549026.3861839995</v>
      </c>
      <c r="D4" s="4">
        <v>5627000</v>
      </c>
      <c r="E4" s="5">
        <f t="shared" ref="E4:E15" si="0">C4/D4</f>
        <v>0.63071377042544863</v>
      </c>
    </row>
    <row r="5" spans="1:5" x14ac:dyDescent="0.3">
      <c r="B5">
        <v>4</v>
      </c>
      <c r="C5" s="4">
        <v>4740197.03467</v>
      </c>
      <c r="D5" s="4">
        <v>4750000</v>
      </c>
      <c r="E5" s="5">
        <f t="shared" si="0"/>
        <v>0.99793621782526321</v>
      </c>
    </row>
    <row r="6" spans="1:5" x14ac:dyDescent="0.3">
      <c r="A6">
        <v>2012</v>
      </c>
      <c r="B6">
        <v>1</v>
      </c>
      <c r="C6" s="4">
        <v>6508085.9979660008</v>
      </c>
      <c r="D6" s="4">
        <v>5068000</v>
      </c>
      <c r="E6" s="5">
        <f t="shared" si="0"/>
        <v>1.2841527225662985</v>
      </c>
    </row>
    <row r="7" spans="1:5" x14ac:dyDescent="0.3">
      <c r="B7">
        <v>2</v>
      </c>
      <c r="C7" s="4">
        <v>6996684.003020999</v>
      </c>
      <c r="D7" s="4">
        <v>10537000</v>
      </c>
      <c r="E7" s="5">
        <f t="shared" si="0"/>
        <v>0.66401100911274547</v>
      </c>
    </row>
    <row r="8" spans="1:5" x14ac:dyDescent="0.3">
      <c r="B8">
        <v>3</v>
      </c>
      <c r="C8" s="4">
        <v>7741329.7370809997</v>
      </c>
      <c r="D8" s="4">
        <v>8654000</v>
      </c>
      <c r="E8" s="5">
        <f t="shared" si="0"/>
        <v>0.89453775561370463</v>
      </c>
    </row>
    <row r="9" spans="1:5" x14ac:dyDescent="0.3">
      <c r="B9">
        <v>4</v>
      </c>
      <c r="C9" s="4">
        <v>5887601.6390660005</v>
      </c>
      <c r="D9" s="4">
        <v>5913000</v>
      </c>
      <c r="E9" s="5">
        <f t="shared" si="0"/>
        <v>0.99570465737628966</v>
      </c>
    </row>
    <row r="10" spans="1:5" x14ac:dyDescent="0.3">
      <c r="A10">
        <v>2013</v>
      </c>
      <c r="B10">
        <v>1</v>
      </c>
      <c r="C10" s="4">
        <v>6309986.1953189997</v>
      </c>
      <c r="D10" s="4">
        <v>8039000</v>
      </c>
      <c r="E10" s="5">
        <f t="shared" si="0"/>
        <v>0.7849217807337977</v>
      </c>
    </row>
    <row r="11" spans="1:5" x14ac:dyDescent="0.3">
      <c r="B11">
        <v>2</v>
      </c>
      <c r="C11" s="4">
        <v>8876224.1846740004</v>
      </c>
      <c r="D11" s="4">
        <v>13733000</v>
      </c>
      <c r="E11" s="5">
        <f t="shared" si="0"/>
        <v>0.64634269166780745</v>
      </c>
    </row>
    <row r="12" spans="1:5" x14ac:dyDescent="0.3">
      <c r="B12">
        <v>3</v>
      </c>
      <c r="C12" s="4">
        <v>9820157.7006520014</v>
      </c>
      <c r="D12" s="4">
        <v>11097000</v>
      </c>
      <c r="E12" s="5">
        <f t="shared" si="0"/>
        <v>0.88493806440046874</v>
      </c>
    </row>
    <row r="13" spans="1:5" x14ac:dyDescent="0.3">
      <c r="B13">
        <v>4</v>
      </c>
      <c r="C13" s="4">
        <v>7883983.6409900002</v>
      </c>
      <c r="D13" s="4">
        <v>8051000</v>
      </c>
      <c r="E13" s="5">
        <f t="shared" si="0"/>
        <v>0.97925520320332882</v>
      </c>
    </row>
    <row r="14" spans="1:5" x14ac:dyDescent="0.3">
      <c r="A14">
        <v>2014</v>
      </c>
      <c r="B14">
        <v>1</v>
      </c>
      <c r="C14" s="4">
        <v>8268335.2185269995</v>
      </c>
      <c r="D14" s="4">
        <v>10359000</v>
      </c>
      <c r="E14" s="5">
        <f t="shared" si="0"/>
        <v>0.79817889936547926</v>
      </c>
    </row>
    <row r="15" spans="1:5" x14ac:dyDescent="0.3">
      <c r="A15" t="s">
        <v>89</v>
      </c>
      <c r="C15" s="4">
        <v>76581611.738150001</v>
      </c>
      <c r="D15" s="4">
        <v>91828000</v>
      </c>
      <c r="E15" s="5">
        <f t="shared" si="0"/>
        <v>0.83396798077002654</v>
      </c>
    </row>
  </sheetData>
  <pageMargins left="0.7" right="0.7" top="0.75" bottom="0.75" header="0.3" footer="0.3"/>
  <pageSetup orientation="portrait" r:id="rId2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2D44126-E516-409D-9229-C897B58463D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SalespersonSummary</vt:lpstr>
      <vt:lpstr>CategoryPivot</vt:lpstr>
      <vt:lpstr>CategoryMixChart</vt:lpstr>
      <vt:lpstr>Dashboard</vt:lpstr>
      <vt:lpstr>CategorySales</vt:lpstr>
      <vt:lpstr>QuarterlyPerformance</vt:lpstr>
      <vt:lpstr>Excel_Analysis</vt:lpstr>
      <vt:lpstr>SalespersonPivot</vt:lpstr>
      <vt:lpstr>QuarterlyPivot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Dev</dc:creator>
  <cp:lastModifiedBy>Gaurav Dev</cp:lastModifiedBy>
  <dcterms:created xsi:type="dcterms:W3CDTF">2026-10-12T11:37:15Z</dcterms:created>
  <dcterms:modified xsi:type="dcterms:W3CDTF">2026-10-14T08:46:58Z</dcterms:modified>
</cp:coreProperties>
</file>